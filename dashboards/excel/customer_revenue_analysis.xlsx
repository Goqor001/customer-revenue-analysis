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vha\OneDrive\Рабочий стол\project\"/>
    </mc:Choice>
  </mc:AlternateContent>
  <xr:revisionPtr revIDLastSave="0" documentId="13_ncr:1_{776E672C-FB40-49A5-97F8-859A55DF90A8}" xr6:coauthVersionLast="47" xr6:coauthVersionMax="47" xr10:uidLastSave="{00000000-0000-0000-0000-000000000000}"/>
  <bookViews>
    <workbookView xWindow="-108" yWindow="-108" windowWidth="23256" windowHeight="12456" activeTab="1" xr2:uid="{6F755BA3-4873-4623-838C-21D177A72F7C}"/>
  </bookViews>
  <sheets>
    <sheet name="Pivot Table" sheetId="6" r:id="rId1"/>
    <sheet name="Dashboard" sheetId="7" r:id="rId2"/>
    <sheet name="customer_segments" sheetId="2" r:id="rId3"/>
  </sheets>
  <definedNames>
    <definedName name="ExternalData_1" localSheetId="2" hidden="1">'customer_segments'!$A$1:$F$123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E4242-3C78-4205-98B4-80031159A8CF}" keepAlive="1" name="Запрос — customer_segments" description="Соединение с запросом &quot;customer_segments&quot; в книге." type="5" refreshedVersion="8" background="1" saveData="1">
    <dbPr connection="Provider=Microsoft.Mashup.OleDb.1;Data Source=$Workbook$;Location=customer_segments;Extended Properties=&quot;&quot;" command="SELECT * FROM [customer_segments]"/>
  </connection>
</connections>
</file>

<file path=xl/sharedStrings.xml><?xml version="1.0" encoding="utf-8"?>
<sst xmlns="http://schemas.openxmlformats.org/spreadsheetml/2006/main" count="534" uniqueCount="81">
  <si>
    <t>customer_id</t>
  </si>
  <si>
    <t>customer_name</t>
  </si>
  <si>
    <t>city</t>
  </si>
  <si>
    <t>client_revenue</t>
  </si>
  <si>
    <t>revenue_share</t>
  </si>
  <si>
    <t>customer_segment</t>
  </si>
  <si>
    <t>C1010</t>
  </si>
  <si>
    <t>Tigran Mkrtchyan</t>
  </si>
  <si>
    <t>Gyumri</t>
  </si>
  <si>
    <t>VIP</t>
  </si>
  <si>
    <t>C1004</t>
  </si>
  <si>
    <t>Narek Avagyan</t>
  </si>
  <si>
    <t>Abovyan</t>
  </si>
  <si>
    <t>C1011</t>
  </si>
  <si>
    <t>Anna Simonyan</t>
  </si>
  <si>
    <t>Armavir</t>
  </si>
  <si>
    <t>C1012</t>
  </si>
  <si>
    <t>Karen Khachatryan</t>
  </si>
  <si>
    <t>Goris</t>
  </si>
  <si>
    <t>C1020</t>
  </si>
  <si>
    <t>Mariam Sargsyan</t>
  </si>
  <si>
    <t>Regular</t>
  </si>
  <si>
    <t>C1018</t>
  </si>
  <si>
    <t>Samvel Margaryan</t>
  </si>
  <si>
    <t>Yerevan</t>
  </si>
  <si>
    <t>C1005</t>
  </si>
  <si>
    <t>Lilit Manukyan</t>
  </si>
  <si>
    <t>C1003</t>
  </si>
  <si>
    <t>Mariam Hakobyan</t>
  </si>
  <si>
    <t>C1014</t>
  </si>
  <si>
    <t>Armen Galstyan</t>
  </si>
  <si>
    <t>C1002</t>
  </si>
  <si>
    <t>Gor Sargsyan</t>
  </si>
  <si>
    <t>C1024</t>
  </si>
  <si>
    <t>Levon Minasyan</t>
  </si>
  <si>
    <t>C1019</t>
  </si>
  <si>
    <t>Suren Asatryan</t>
  </si>
  <si>
    <t>C1015</t>
  </si>
  <si>
    <t>Nina Abrahamyan</t>
  </si>
  <si>
    <t>C1013</t>
  </si>
  <si>
    <t>Mane Martirosyan</t>
  </si>
  <si>
    <t>Vanadzor</t>
  </si>
  <si>
    <t>C1001</t>
  </si>
  <si>
    <t>Ani Grigoryan</t>
  </si>
  <si>
    <t>C1007</t>
  </si>
  <si>
    <t>Sona Karapetyan</t>
  </si>
  <si>
    <t>C1022</t>
  </si>
  <si>
    <t>Artur Gevorgyan</t>
  </si>
  <si>
    <t>C1021</t>
  </si>
  <si>
    <t>Lia Davtyan</t>
  </si>
  <si>
    <t>C1023</t>
  </si>
  <si>
    <t>Hasmik Nersisyan</t>
  </si>
  <si>
    <t>C1009</t>
  </si>
  <si>
    <t>Elena Vardanyan</t>
  </si>
  <si>
    <t>C1000</t>
  </si>
  <si>
    <t>Aram Petrosyan</t>
  </si>
  <si>
    <t>C1016</t>
  </si>
  <si>
    <t>Robert Melikyan</t>
  </si>
  <si>
    <t>C1008</t>
  </si>
  <si>
    <t>Hayk Harutyunyan</t>
  </si>
  <si>
    <t>Low Value</t>
  </si>
  <si>
    <t>C1006</t>
  </si>
  <si>
    <t>Davit Hovhannisyan</t>
  </si>
  <si>
    <t>C1017</t>
  </si>
  <si>
    <t>Eva Baghdasaryan</t>
  </si>
  <si>
    <t>Unknown</t>
  </si>
  <si>
    <t>Row Labels</t>
  </si>
  <si>
    <t>Grand Total</t>
  </si>
  <si>
    <t>Sum of client_revenue</t>
  </si>
  <si>
    <t>Column Labels</t>
  </si>
  <si>
    <t>1. Yerevan generates the highest revenue</t>
  </si>
  <si>
    <t>2. Regular customer generate most Revenue</t>
  </si>
  <si>
    <t>3. VIP segment is underdeveloped in most cities</t>
  </si>
  <si>
    <t>Recommendation</t>
  </si>
  <si>
    <t>1. Focus marketing on Yerevan</t>
  </si>
  <si>
    <t>2. Increase VIP customer in Yerevan</t>
  </si>
  <si>
    <t>3. Improve low-performing cities like Vanadzor</t>
  </si>
  <si>
    <t>Customer Revenue Analysis Dashboard</t>
  </si>
  <si>
    <t>Revenue by City</t>
  </si>
  <si>
    <t>Revenue by city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</si>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</sst>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Table'!$D$7:$D$14</c:f>
              <c:strCache>
                <c:ptCount val="7"/>
                <c:pt idx="0">
                  <c:v>Yerevan</c:v>
                </c:pt>
                <c:pt idx="1">
                  <c:v>Abovyan</c:v>
                </c:pt>
                <c:pt idx="2">
                  <c:v>Gyumri</c:v>
                </c:pt>
                <c:pt idx="3">
                  <c:v>Goris</c:v>
                </c:pt>
                <c:pt idx="4">
                  <c:v>Armavir</c:v>
                </c:pt>
                <c:pt idx="5">
                  <c:v>Vanadzor</c:v>
                </c:pt>
                <c:pt idx="6">
                  <c:v>Unknown</c:v>
                </c:pt>
              </c:strCache>
            </c:strRef>
          </c:cat>
          <c:val>
            <c:numRef>
              <c:f>'Pivot Table'!$E$7:$E$14</c:f>
              <c:numCache>
                <c:formatCode>General</c:formatCode>
                <c:ptCount val="7"/>
                <c:pt idx="0">
                  <c:v>5060.54</c:v>
                </c:pt>
                <c:pt idx="1">
                  <c:v>4163.6499999999996</c:v>
                </c:pt>
                <c:pt idx="2">
                  <c:v>3679.8800000000006</c:v>
                </c:pt>
                <c:pt idx="3">
                  <c:v>3625.2399999999993</c:v>
                </c:pt>
                <c:pt idx="4">
                  <c:v>2879.9299999999994</c:v>
                </c:pt>
                <c:pt idx="5">
                  <c:v>1764.1000000000004</c:v>
                </c:pt>
                <c:pt idx="6">
                  <c:v>17.46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F-4487-934B-99103AEF6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0243904"/>
        <c:axId val="660233824"/>
      </c:barChart>
      <c:catAx>
        <c:axId val="6602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33824"/>
        <c:crosses val="autoZero"/>
        <c:auto val="1"/>
        <c:lblAlgn val="ctr"/>
        <c:lblOffset val="100"/>
        <c:noMultiLvlLbl val="0"/>
      </c:catAx>
      <c:valAx>
        <c:axId val="6602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[analysis.xlsx]Pivot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Table'!$G$6:$G$9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'Pivot Table'!$H$6:$H$9</c:f>
              <c:numCache>
                <c:formatCode>General</c:formatCode>
                <c:ptCount val="3"/>
                <c:pt idx="0">
                  <c:v>7328.2800000000007</c:v>
                </c:pt>
                <c:pt idx="1">
                  <c:v>11133.979999999998</c:v>
                </c:pt>
                <c:pt idx="2">
                  <c:v>2728.54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C-40BD-A5BC-F15CD84C1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6101743"/>
        <c:axId val="1926095023"/>
      </c:barChart>
      <c:catAx>
        <c:axId val="192610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95023"/>
        <c:crosses val="autoZero"/>
        <c:auto val="1"/>
        <c:lblAlgn val="ctr"/>
        <c:lblOffset val="100"/>
        <c:noMultiLvlLbl val="0"/>
      </c:catAx>
      <c:valAx>
        <c:axId val="19260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 &amp;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Table'!$L$4:$L$5</c:f>
              <c:strCache>
                <c:ptCount val="1"/>
                <c:pt idx="0">
                  <c:v>Low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Table'!$K$6:$K$13</c:f>
              <c:strCache>
                <c:ptCount val="7"/>
                <c:pt idx="0">
                  <c:v>Abovyan</c:v>
                </c:pt>
                <c:pt idx="1">
                  <c:v>Armavir</c:v>
                </c:pt>
                <c:pt idx="2">
                  <c:v>Goris</c:v>
                </c:pt>
                <c:pt idx="3">
                  <c:v>Gyumri</c:v>
                </c:pt>
                <c:pt idx="4">
                  <c:v>Unknown</c:v>
                </c:pt>
                <c:pt idx="5">
                  <c:v>Vanadzor</c:v>
                </c:pt>
                <c:pt idx="6">
                  <c:v>Yerevan</c:v>
                </c:pt>
              </c:strCache>
            </c:strRef>
          </c:cat>
          <c:val>
            <c:numRef>
              <c:f>'Pivot Table'!$L$6:$L$13</c:f>
              <c:numCache>
                <c:formatCode>General</c:formatCode>
                <c:ptCount val="7"/>
                <c:pt idx="0">
                  <c:v>1263.2099999999996</c:v>
                </c:pt>
                <c:pt idx="1">
                  <c:v>1194.1400000000001</c:v>
                </c:pt>
                <c:pt idx="2">
                  <c:v>1259.6699999999998</c:v>
                </c:pt>
                <c:pt idx="3">
                  <c:v>1112.8899999999999</c:v>
                </c:pt>
                <c:pt idx="4">
                  <c:v>17.46</c:v>
                </c:pt>
                <c:pt idx="5">
                  <c:v>891.77</c:v>
                </c:pt>
                <c:pt idx="6">
                  <c:v>1589.1400000000003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7-4728-8C9C-4ABBEF53A12C}"/>
            </c:ext>
          </c:extLst>
        </c:ser>
        <c:ser>
          <c:idx val="1"/>
          <c:order val="1"/>
          <c:tx>
            <c:strRef>
              <c:f>'Pivot Table'!$M$4:$M$5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Table'!$K$6:$K$13</c:f>
              <c:strCache>
                <c:ptCount val="7"/>
                <c:pt idx="0">
                  <c:v>Abovyan</c:v>
                </c:pt>
                <c:pt idx="1">
                  <c:v>Armavir</c:v>
                </c:pt>
                <c:pt idx="2">
                  <c:v>Goris</c:v>
                </c:pt>
                <c:pt idx="3">
                  <c:v>Gyumri</c:v>
                </c:pt>
                <c:pt idx="4">
                  <c:v>Unknown</c:v>
                </c:pt>
                <c:pt idx="5">
                  <c:v>Vanadzor</c:v>
                </c:pt>
                <c:pt idx="6">
                  <c:v>Yerevan</c:v>
                </c:pt>
              </c:strCache>
            </c:strRef>
          </c:cat>
          <c:val>
            <c:numRef>
              <c:f>'Pivot Table'!$M$6:$M$13</c:f>
              <c:numCache>
                <c:formatCode>General</c:formatCode>
                <c:ptCount val="7"/>
                <c:pt idx="0">
                  <c:v>2234.9100000000003</c:v>
                </c:pt>
                <c:pt idx="1">
                  <c:v>1036.81</c:v>
                </c:pt>
                <c:pt idx="2">
                  <c:v>1729.19</c:v>
                </c:pt>
                <c:pt idx="3">
                  <c:v>1789.3400000000001</c:v>
                </c:pt>
                <c:pt idx="5">
                  <c:v>872.33000000000015</c:v>
                </c:pt>
                <c:pt idx="6">
                  <c:v>3471.4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7-4728-8C9C-4ABBEF53A12C}"/>
            </c:ext>
          </c:extLst>
        </c:ser>
        <c:ser>
          <c:idx val="2"/>
          <c:order val="2"/>
          <c:tx>
            <c:strRef>
              <c:f>'Pivot Table'!$N$4:$N$5</c:f>
              <c:strCache>
                <c:ptCount val="1"/>
                <c:pt idx="0">
                  <c:v>VIP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Table'!$K$6:$K$13</c:f>
              <c:strCache>
                <c:ptCount val="7"/>
                <c:pt idx="0">
                  <c:v>Abovyan</c:v>
                </c:pt>
                <c:pt idx="1">
                  <c:v>Armavir</c:v>
                </c:pt>
                <c:pt idx="2">
                  <c:v>Goris</c:v>
                </c:pt>
                <c:pt idx="3">
                  <c:v>Gyumri</c:v>
                </c:pt>
                <c:pt idx="4">
                  <c:v>Unknown</c:v>
                </c:pt>
                <c:pt idx="5">
                  <c:v>Vanadzor</c:v>
                </c:pt>
                <c:pt idx="6">
                  <c:v>Yerevan</c:v>
                </c:pt>
              </c:strCache>
            </c:strRef>
          </c:cat>
          <c:val>
            <c:numRef>
              <c:f>'Pivot Table'!$N$6:$N$13</c:f>
              <c:numCache>
                <c:formatCode>General</c:formatCode>
                <c:ptCount val="7"/>
                <c:pt idx="0">
                  <c:v>665.53</c:v>
                </c:pt>
                <c:pt idx="1">
                  <c:v>648.98</c:v>
                </c:pt>
                <c:pt idx="2">
                  <c:v>636.38</c:v>
                </c:pt>
                <c:pt idx="3">
                  <c:v>777.65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7-4728-8C9C-4ABBEF53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6126223"/>
        <c:axId val="1926123343"/>
      </c:barChart>
      <c:catAx>
        <c:axId val="19261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23343"/>
        <c:crosses val="autoZero"/>
        <c:auto val="1"/>
        <c:lblAlgn val="ctr"/>
        <c:lblOffset val="100"/>
        <c:noMultiLvlLbl val="0"/>
      </c:catAx>
      <c:valAx>
        <c:axId val="192612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11206</xdr:colOff>
      <xdr:row>3</xdr:row>
      <xdr:rowOff>22412</xdr:rowOff>
    </xdr:from>
    <xdr:to>
      <xdr:col>8</xdr:col>
      <xdr:colOff>33618</xdr:colOff>
      <xdr:row>17</xdr:row>
      <xdr:rowOff>168089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91267-6492-433A-BB1C-F9FDB74C1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582707</xdr:colOff>
      <xdr:row>3</xdr:row>
      <xdr:rowOff>11205</xdr:rowOff>
    </xdr:from>
    <xdr:to>
      <xdr:col>17</xdr:col>
      <xdr:colOff>22412</xdr:colOff>
      <xdr:row>17</xdr:row>
      <xdr:rowOff>156883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74BB5-5BC8-4228-BE7E-1D2C93527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11206</xdr:colOff>
      <xdr:row>19</xdr:row>
      <xdr:rowOff>12596</xdr:rowOff>
    </xdr:from>
    <xdr:to>
      <xdr:col>17</xdr:col>
      <xdr:colOff>11206</xdr:colOff>
      <xdr:row>37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FEA7B-C948-427B-8361-2900EEF1F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gor Hovhannisyan" refreshedDate="46145.044163888888" createdVersion="8" refreshedVersion="8" minRefreshableVersion="3" recordCount="122" xr:uid="{7357C9D0-26D2-406F-817E-B9F40441BF73}">
  <cacheSource type="worksheet">
    <worksheetSource name="customer_segments"/>
  </cacheSource>
  <cacheFields count="6">
    <cacheField name="customer_id" numFmtId="0">
      <sharedItems count="25">
        <s v="C1010"/>
        <s v="C1004"/>
        <s v="C1011"/>
        <s v="C1012"/>
        <s v="C1020"/>
        <s v="C1018"/>
        <s v="C1005"/>
        <s v="C1003"/>
        <s v="C1014"/>
        <s v="C1002"/>
        <s v="C1024"/>
        <s v="C1019"/>
        <s v="C1015"/>
        <s v="C1013"/>
        <s v="C1001"/>
        <s v="C1007"/>
        <s v="C1022"/>
        <s v="C1021"/>
        <s v="C1023"/>
        <s v="C1009"/>
        <s v="C1000"/>
        <s v="C1016"/>
        <s v="C1008"/>
        <s v="C1006"/>
        <s v="C1017"/>
      </sharedItems>
    </cacheField>
    <cacheField name="customer_name" numFmtId="0">
      <sharedItems/>
    </cacheField>
    <cacheField name="city" numFmtId="0">
      <sharedItems count="7">
        <s v="Gyumri"/>
        <s v="Abovyan"/>
        <s v="Armavir"/>
        <s v="Goris"/>
        <s v="Yerevan"/>
        <s v="Vanadzor"/>
        <s v="Unknown"/>
      </sharedItems>
    </cacheField>
    <cacheField name="client_revenue" numFmtId="0">
      <sharedItems containsSemiMixedTypes="0" containsString="0" containsNumber="1" minValue="2.4500000000000002" maxValue="777.65" count="122">
        <n v="777.65"/>
        <n v="665.53"/>
        <n v="648.98"/>
        <n v="636.38"/>
        <n v="618.16999999999996"/>
        <n v="616.1"/>
        <n v="545.66"/>
        <n v="542.87"/>
        <n v="530.67999999999995"/>
        <n v="481.06"/>
        <n v="472.35"/>
        <n v="443.48"/>
        <n v="405.12"/>
        <n v="400.67"/>
        <n v="361.73"/>
        <n v="343.27"/>
        <n v="326.49"/>
        <n v="314.35000000000002"/>
        <n v="300.41000000000003"/>
        <n v="290.81"/>
        <n v="289.38"/>
        <n v="283.89999999999998"/>
        <n v="281.22000000000003"/>
        <n v="277.47000000000003"/>
        <n v="274.35000000000002"/>
        <n v="271.89999999999998"/>
        <n v="267.16000000000003"/>
        <n v="267.17"/>
        <n v="263.14"/>
        <n v="252"/>
        <n v="248.66"/>
        <n v="248.89"/>
        <n v="236.75"/>
        <n v="235.92"/>
        <n v="228.64"/>
        <n v="214.21"/>
        <n v="209.71"/>
        <n v="207.48"/>
        <n v="191.1"/>
        <n v="186.2"/>
        <n v="178.59"/>
        <n v="172.41"/>
        <n v="163.36000000000001"/>
        <n v="162.62"/>
        <n v="159.97999999999999"/>
        <n v="156.65"/>
        <n v="150.85"/>
        <n v="148.56"/>
        <n v="144"/>
        <n v="144.41999999999999"/>
        <n v="144.66999999999999"/>
        <n v="140"/>
        <n v="139.94999999999999"/>
        <n v="138.57"/>
        <n v="131.72999999999999"/>
        <n v="130.62"/>
        <n v="131.84"/>
        <n v="126.6"/>
        <n v="126.38"/>
        <n v="124.32"/>
        <n v="123.6"/>
        <n v="108.16"/>
        <n v="106.52"/>
        <n v="106.36"/>
        <n v="102.86"/>
        <n v="101.85"/>
        <n v="102.24"/>
        <n v="100.08"/>
        <n v="98.16"/>
        <n v="97.68"/>
        <n v="95.35"/>
        <n v="95.67"/>
        <n v="92.4"/>
        <n v="92.99"/>
        <n v="90.15"/>
        <n v="89.6"/>
        <n v="88.88"/>
        <n v="84.9"/>
        <n v="84"/>
        <n v="83.72"/>
        <n v="81.92"/>
        <n v="80.959999999999994"/>
        <n v="79.09"/>
        <n v="75.900000000000006"/>
        <n v="76.38"/>
        <n v="75.08"/>
        <n v="74.14"/>
        <n v="69.7"/>
        <n v="60.63"/>
        <n v="58.37"/>
        <n v="58.92"/>
        <n v="56.65"/>
        <n v="56.64"/>
        <n v="54.08"/>
        <n v="52.48"/>
        <n v="51.49"/>
        <n v="49.56"/>
        <n v="46.11"/>
        <n v="40.9"/>
        <n v="35.64"/>
        <n v="36.090000000000003"/>
        <n v="33.97"/>
        <n v="33.39"/>
        <n v="31.05"/>
        <n v="29.04"/>
        <n v="26.64"/>
        <n v="28.11"/>
        <n v="25.9"/>
        <n v="23.26"/>
        <n v="22.96"/>
        <n v="23.07"/>
        <n v="20.76"/>
        <n v="19.079999999999998"/>
        <n v="17.46"/>
        <n v="13.8"/>
        <n v="13.54"/>
        <n v="13.26"/>
        <n v="9.59"/>
        <n v="6.6"/>
        <n v="3.28"/>
        <n v="4.5599999999999996"/>
        <n v="2.4500000000000002"/>
      </sharedItems>
    </cacheField>
    <cacheField name="revenue_share" numFmtId="0">
      <sharedItems containsSemiMixedTypes="0" containsString="0" containsNumber="1" minValue="0.01" maxValue="3.67" count="93">
        <n v="3.67"/>
        <n v="3.14"/>
        <n v="3.06"/>
        <n v="3"/>
        <n v="2.92"/>
        <n v="2.91"/>
        <n v="2.57"/>
        <n v="2.56"/>
        <n v="2.5"/>
        <n v="2.27"/>
        <n v="2.23"/>
        <n v="2.09"/>
        <n v="1.91"/>
        <n v="1.89"/>
        <n v="1.71"/>
        <n v="1.62"/>
        <n v="1.54"/>
        <n v="1.48"/>
        <n v="1.42"/>
        <n v="1.37"/>
        <n v="1.34"/>
        <n v="1.33"/>
        <n v="1.31"/>
        <n v="1.29"/>
        <n v="1.28"/>
        <n v="1.26"/>
        <n v="1.24"/>
        <n v="1.19"/>
        <n v="1.17"/>
        <n v="1.1200000000000001"/>
        <n v="1.1100000000000001"/>
        <n v="1.08"/>
        <n v="1.01"/>
        <n v="0.99"/>
        <n v="0.98"/>
        <n v="0.9"/>
        <n v="0.88"/>
        <n v="0.84"/>
        <n v="0.81"/>
        <n v="0.77"/>
        <n v="0.75"/>
        <n v="0.74"/>
        <n v="0.71"/>
        <n v="0.7"/>
        <n v="0.68"/>
        <n v="0.66"/>
        <n v="0.65"/>
        <n v="0.62"/>
        <n v="0.6"/>
        <n v="0.59"/>
        <n v="0.57999999999999996"/>
        <n v="0.51"/>
        <n v="0.5"/>
        <n v="0.49"/>
        <n v="0.48"/>
        <n v="0.47"/>
        <n v="0.46"/>
        <n v="0.45"/>
        <n v="0.44"/>
        <n v="0.43"/>
        <n v="0.42"/>
        <n v="0.4"/>
        <n v="0.39"/>
        <n v="0.38"/>
        <n v="0.37"/>
        <n v="0.36"/>
        <n v="0.35"/>
        <n v="0.33"/>
        <n v="0.28999999999999998"/>
        <n v="0.28000000000000003"/>
        <n v="0.27"/>
        <n v="0.26"/>
        <n v="0.25"/>
        <n v="0.24"/>
        <n v="0.23"/>
        <n v="0.22"/>
        <n v="0.19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3"/>
        <n v="0.02"/>
        <n v="0.01"/>
      </sharedItems>
    </cacheField>
    <cacheField name="customer_segment" numFmtId="0">
      <sharedItems count="3">
        <s v="VIP"/>
        <s v="Regular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s v="Tigran Mkrtchyan"/>
    <x v="0"/>
    <x v="0"/>
    <x v="0"/>
    <x v="0"/>
  </r>
  <r>
    <x v="1"/>
    <s v="Narek Avagyan"/>
    <x v="1"/>
    <x v="1"/>
    <x v="1"/>
    <x v="0"/>
  </r>
  <r>
    <x v="2"/>
    <s v="Anna Simonyan"/>
    <x v="2"/>
    <x v="2"/>
    <x v="2"/>
    <x v="0"/>
  </r>
  <r>
    <x v="3"/>
    <s v="Karen Khachatryan"/>
    <x v="3"/>
    <x v="3"/>
    <x v="3"/>
    <x v="0"/>
  </r>
  <r>
    <x v="4"/>
    <s v="Mariam Sargsyan"/>
    <x v="3"/>
    <x v="4"/>
    <x v="4"/>
    <x v="1"/>
  </r>
  <r>
    <x v="5"/>
    <s v="Samvel Margaryan"/>
    <x v="4"/>
    <x v="5"/>
    <x v="5"/>
    <x v="1"/>
  </r>
  <r>
    <x v="6"/>
    <s v="Lilit Manukyan"/>
    <x v="1"/>
    <x v="6"/>
    <x v="6"/>
    <x v="1"/>
  </r>
  <r>
    <x v="7"/>
    <s v="Mariam Hakobyan"/>
    <x v="4"/>
    <x v="7"/>
    <x v="7"/>
    <x v="1"/>
  </r>
  <r>
    <x v="8"/>
    <s v="Armen Galstyan"/>
    <x v="0"/>
    <x v="8"/>
    <x v="8"/>
    <x v="1"/>
  </r>
  <r>
    <x v="9"/>
    <s v="Gor Sargsyan"/>
    <x v="4"/>
    <x v="9"/>
    <x v="9"/>
    <x v="1"/>
  </r>
  <r>
    <x v="10"/>
    <s v="Levon Minasyan"/>
    <x v="1"/>
    <x v="10"/>
    <x v="10"/>
    <x v="1"/>
  </r>
  <r>
    <x v="11"/>
    <s v="Suren Asatryan"/>
    <x v="4"/>
    <x v="11"/>
    <x v="11"/>
    <x v="1"/>
  </r>
  <r>
    <x v="3"/>
    <s v="Karen Khachatryan"/>
    <x v="0"/>
    <x v="12"/>
    <x v="12"/>
    <x v="1"/>
  </r>
  <r>
    <x v="11"/>
    <s v="Suren Asatryan"/>
    <x v="1"/>
    <x v="13"/>
    <x v="13"/>
    <x v="1"/>
  </r>
  <r>
    <x v="7"/>
    <s v="Mariam Hakobyan"/>
    <x v="3"/>
    <x v="14"/>
    <x v="14"/>
    <x v="1"/>
  </r>
  <r>
    <x v="12"/>
    <s v="Nina Abrahamyan"/>
    <x v="0"/>
    <x v="15"/>
    <x v="15"/>
    <x v="1"/>
  </r>
  <r>
    <x v="13"/>
    <s v="Mane Martirosyan"/>
    <x v="4"/>
    <x v="16"/>
    <x v="16"/>
    <x v="1"/>
  </r>
  <r>
    <x v="2"/>
    <s v="Anna Simonyan"/>
    <x v="5"/>
    <x v="17"/>
    <x v="17"/>
    <x v="1"/>
  </r>
  <r>
    <x v="13"/>
    <s v="Mane Martirosyan"/>
    <x v="1"/>
    <x v="18"/>
    <x v="18"/>
    <x v="1"/>
  </r>
  <r>
    <x v="14"/>
    <s v="Ani Grigoryan"/>
    <x v="5"/>
    <x v="19"/>
    <x v="19"/>
    <x v="1"/>
  </r>
  <r>
    <x v="15"/>
    <s v="Sona Karapetyan"/>
    <x v="2"/>
    <x v="20"/>
    <x v="19"/>
    <x v="1"/>
  </r>
  <r>
    <x v="9"/>
    <s v="Gor Sargsyan"/>
    <x v="3"/>
    <x v="21"/>
    <x v="20"/>
    <x v="1"/>
  </r>
  <r>
    <x v="16"/>
    <s v="Artur Gevorgyan"/>
    <x v="2"/>
    <x v="22"/>
    <x v="21"/>
    <x v="1"/>
  </r>
  <r>
    <x v="17"/>
    <s v="Lia Davtyan"/>
    <x v="4"/>
    <x v="23"/>
    <x v="22"/>
    <x v="1"/>
  </r>
  <r>
    <x v="18"/>
    <s v="Hasmik Nersisyan"/>
    <x v="0"/>
    <x v="24"/>
    <x v="23"/>
    <x v="1"/>
  </r>
  <r>
    <x v="16"/>
    <s v="Artur Gevorgyan"/>
    <x v="4"/>
    <x v="25"/>
    <x v="24"/>
    <x v="1"/>
  </r>
  <r>
    <x v="3"/>
    <s v="Karen Khachatryan"/>
    <x v="1"/>
    <x v="26"/>
    <x v="25"/>
    <x v="1"/>
  </r>
  <r>
    <x v="3"/>
    <s v="Karen Khachatryan"/>
    <x v="5"/>
    <x v="27"/>
    <x v="25"/>
    <x v="1"/>
  </r>
  <r>
    <x v="19"/>
    <s v="Elena Vardanyan"/>
    <x v="4"/>
    <x v="28"/>
    <x v="26"/>
    <x v="1"/>
  </r>
  <r>
    <x v="12"/>
    <s v="Nina Abrahamyan"/>
    <x v="2"/>
    <x v="29"/>
    <x v="27"/>
    <x v="1"/>
  </r>
  <r>
    <x v="20"/>
    <s v="Aram Petrosyan"/>
    <x v="1"/>
    <x v="30"/>
    <x v="28"/>
    <x v="1"/>
  </r>
  <r>
    <x v="2"/>
    <s v="Anna Simonyan"/>
    <x v="4"/>
    <x v="31"/>
    <x v="28"/>
    <x v="1"/>
  </r>
  <r>
    <x v="19"/>
    <s v="Elena Vardanyan"/>
    <x v="3"/>
    <x v="32"/>
    <x v="29"/>
    <x v="1"/>
  </r>
  <r>
    <x v="9"/>
    <s v="Gor Sargsyan"/>
    <x v="0"/>
    <x v="33"/>
    <x v="30"/>
    <x v="1"/>
  </r>
  <r>
    <x v="2"/>
    <s v="Anna Simonyan"/>
    <x v="3"/>
    <x v="34"/>
    <x v="31"/>
    <x v="1"/>
  </r>
  <r>
    <x v="21"/>
    <s v="Robert Melikyan"/>
    <x v="2"/>
    <x v="35"/>
    <x v="32"/>
    <x v="1"/>
  </r>
  <r>
    <x v="22"/>
    <s v="Hayk Harutyunyan"/>
    <x v="0"/>
    <x v="36"/>
    <x v="33"/>
    <x v="2"/>
  </r>
  <r>
    <x v="1"/>
    <s v="Narek Avagyan"/>
    <x v="3"/>
    <x v="37"/>
    <x v="34"/>
    <x v="2"/>
  </r>
  <r>
    <x v="6"/>
    <s v="Lilit Manukyan"/>
    <x v="4"/>
    <x v="38"/>
    <x v="35"/>
    <x v="2"/>
  </r>
  <r>
    <x v="1"/>
    <s v="Narek Avagyan"/>
    <x v="4"/>
    <x v="39"/>
    <x v="36"/>
    <x v="2"/>
  </r>
  <r>
    <x v="18"/>
    <s v="Hasmik Nersisyan"/>
    <x v="1"/>
    <x v="40"/>
    <x v="37"/>
    <x v="2"/>
  </r>
  <r>
    <x v="23"/>
    <s v="Davit Hovhannisyan"/>
    <x v="2"/>
    <x v="41"/>
    <x v="38"/>
    <x v="2"/>
  </r>
  <r>
    <x v="2"/>
    <s v="Anna Simonyan"/>
    <x v="0"/>
    <x v="42"/>
    <x v="39"/>
    <x v="2"/>
  </r>
  <r>
    <x v="8"/>
    <s v="Armen Galstyan"/>
    <x v="4"/>
    <x v="43"/>
    <x v="39"/>
    <x v="2"/>
  </r>
  <r>
    <x v="24"/>
    <s v="Eva Baghdasaryan"/>
    <x v="4"/>
    <x v="44"/>
    <x v="40"/>
    <x v="2"/>
  </r>
  <r>
    <x v="16"/>
    <s v="Artur Gevorgyan"/>
    <x v="3"/>
    <x v="45"/>
    <x v="41"/>
    <x v="2"/>
  </r>
  <r>
    <x v="21"/>
    <s v="Robert Melikyan"/>
    <x v="1"/>
    <x v="46"/>
    <x v="42"/>
    <x v="2"/>
  </r>
  <r>
    <x v="21"/>
    <s v="Robert Melikyan"/>
    <x v="4"/>
    <x v="47"/>
    <x v="43"/>
    <x v="2"/>
  </r>
  <r>
    <x v="6"/>
    <s v="Lilit Manukyan"/>
    <x v="0"/>
    <x v="48"/>
    <x v="44"/>
    <x v="2"/>
  </r>
  <r>
    <x v="15"/>
    <s v="Sona Karapetyan"/>
    <x v="1"/>
    <x v="49"/>
    <x v="44"/>
    <x v="2"/>
  </r>
  <r>
    <x v="24"/>
    <s v="Eva Baghdasaryan"/>
    <x v="3"/>
    <x v="50"/>
    <x v="44"/>
    <x v="2"/>
  </r>
  <r>
    <x v="11"/>
    <s v="Suren Asatryan"/>
    <x v="2"/>
    <x v="51"/>
    <x v="45"/>
    <x v="2"/>
  </r>
  <r>
    <x v="16"/>
    <s v="Artur Gevorgyan"/>
    <x v="1"/>
    <x v="52"/>
    <x v="45"/>
    <x v="2"/>
  </r>
  <r>
    <x v="13"/>
    <s v="Mane Martirosyan"/>
    <x v="0"/>
    <x v="53"/>
    <x v="46"/>
    <x v="2"/>
  </r>
  <r>
    <x v="20"/>
    <s v="Aram Petrosyan"/>
    <x v="3"/>
    <x v="54"/>
    <x v="47"/>
    <x v="2"/>
  </r>
  <r>
    <x v="9"/>
    <s v="Gor Sargsyan"/>
    <x v="1"/>
    <x v="55"/>
    <x v="47"/>
    <x v="2"/>
  </r>
  <r>
    <x v="12"/>
    <s v="Nina Abrahamyan"/>
    <x v="4"/>
    <x v="56"/>
    <x v="47"/>
    <x v="2"/>
  </r>
  <r>
    <x v="15"/>
    <s v="Sona Karapetyan"/>
    <x v="4"/>
    <x v="57"/>
    <x v="48"/>
    <x v="2"/>
  </r>
  <r>
    <x v="24"/>
    <s v="Eva Baghdasaryan"/>
    <x v="5"/>
    <x v="58"/>
    <x v="48"/>
    <x v="2"/>
  </r>
  <r>
    <x v="17"/>
    <s v="Lia Davtyan"/>
    <x v="2"/>
    <x v="59"/>
    <x v="49"/>
    <x v="2"/>
  </r>
  <r>
    <x v="5"/>
    <s v="Samvel Margaryan"/>
    <x v="3"/>
    <x v="60"/>
    <x v="50"/>
    <x v="2"/>
  </r>
  <r>
    <x v="3"/>
    <s v="Karen Khachatryan"/>
    <x v="4"/>
    <x v="61"/>
    <x v="51"/>
    <x v="2"/>
  </r>
  <r>
    <x v="14"/>
    <s v="Ani Grigoryan"/>
    <x v="1"/>
    <x v="62"/>
    <x v="52"/>
    <x v="2"/>
  </r>
  <r>
    <x v="4"/>
    <s v="Mariam Sargsyan"/>
    <x v="1"/>
    <x v="63"/>
    <x v="52"/>
    <x v="2"/>
  </r>
  <r>
    <x v="8"/>
    <s v="Armen Galstyan"/>
    <x v="1"/>
    <x v="64"/>
    <x v="53"/>
    <x v="2"/>
  </r>
  <r>
    <x v="8"/>
    <s v="Armen Galstyan"/>
    <x v="5"/>
    <x v="65"/>
    <x v="54"/>
    <x v="2"/>
  </r>
  <r>
    <x v="5"/>
    <s v="Samvel Margaryan"/>
    <x v="2"/>
    <x v="66"/>
    <x v="54"/>
    <x v="2"/>
  </r>
  <r>
    <x v="24"/>
    <s v="Eva Baghdasaryan"/>
    <x v="2"/>
    <x v="67"/>
    <x v="55"/>
    <x v="2"/>
  </r>
  <r>
    <x v="22"/>
    <s v="Hayk Harutyunyan"/>
    <x v="4"/>
    <x v="68"/>
    <x v="56"/>
    <x v="2"/>
  </r>
  <r>
    <x v="4"/>
    <s v="Mariam Sargsyan"/>
    <x v="4"/>
    <x v="69"/>
    <x v="56"/>
    <x v="2"/>
  </r>
  <r>
    <x v="13"/>
    <s v="Mane Martirosyan"/>
    <x v="2"/>
    <x v="70"/>
    <x v="57"/>
    <x v="2"/>
  </r>
  <r>
    <x v="10"/>
    <s v="Levon Minasyan"/>
    <x v="4"/>
    <x v="71"/>
    <x v="57"/>
    <x v="2"/>
  </r>
  <r>
    <x v="6"/>
    <s v="Lilit Manukyan"/>
    <x v="5"/>
    <x v="72"/>
    <x v="58"/>
    <x v="2"/>
  </r>
  <r>
    <x v="12"/>
    <s v="Nina Abrahamyan"/>
    <x v="3"/>
    <x v="73"/>
    <x v="58"/>
    <x v="2"/>
  </r>
  <r>
    <x v="14"/>
    <s v="Ani Grigoryan"/>
    <x v="0"/>
    <x v="74"/>
    <x v="59"/>
    <x v="2"/>
  </r>
  <r>
    <x v="22"/>
    <s v="Hayk Harutyunyan"/>
    <x v="1"/>
    <x v="75"/>
    <x v="60"/>
    <x v="2"/>
  </r>
  <r>
    <x v="19"/>
    <s v="Elena Vardanyan"/>
    <x v="5"/>
    <x v="76"/>
    <x v="60"/>
    <x v="2"/>
  </r>
  <r>
    <x v="23"/>
    <s v="Davit Hovhannisyan"/>
    <x v="0"/>
    <x v="77"/>
    <x v="61"/>
    <x v="2"/>
  </r>
  <r>
    <x v="22"/>
    <s v="Hayk Harutyunyan"/>
    <x v="2"/>
    <x v="78"/>
    <x v="61"/>
    <x v="2"/>
  </r>
  <r>
    <x v="22"/>
    <s v="Hayk Harutyunyan"/>
    <x v="3"/>
    <x v="79"/>
    <x v="61"/>
    <x v="2"/>
  </r>
  <r>
    <x v="14"/>
    <s v="Ani Grigoryan"/>
    <x v="3"/>
    <x v="80"/>
    <x v="62"/>
    <x v="2"/>
  </r>
  <r>
    <x v="4"/>
    <s v="Mariam Sargsyan"/>
    <x v="0"/>
    <x v="81"/>
    <x v="63"/>
    <x v="2"/>
  </r>
  <r>
    <x v="15"/>
    <s v="Sona Karapetyan"/>
    <x v="3"/>
    <x v="82"/>
    <x v="64"/>
    <x v="2"/>
  </r>
  <r>
    <x v="6"/>
    <s v="Lilit Manukyan"/>
    <x v="2"/>
    <x v="83"/>
    <x v="65"/>
    <x v="2"/>
  </r>
  <r>
    <x v="23"/>
    <s v="Davit Hovhannisyan"/>
    <x v="1"/>
    <x v="84"/>
    <x v="65"/>
    <x v="2"/>
  </r>
  <r>
    <x v="1"/>
    <s v="Narek Avagyan"/>
    <x v="5"/>
    <x v="85"/>
    <x v="66"/>
    <x v="2"/>
  </r>
  <r>
    <x v="19"/>
    <s v="Elena Vardanyan"/>
    <x v="0"/>
    <x v="86"/>
    <x v="66"/>
    <x v="2"/>
  </r>
  <r>
    <x v="23"/>
    <s v="Davit Hovhannisyan"/>
    <x v="4"/>
    <x v="87"/>
    <x v="67"/>
    <x v="2"/>
  </r>
  <r>
    <x v="22"/>
    <s v="Hayk Harutyunyan"/>
    <x v="5"/>
    <x v="88"/>
    <x v="68"/>
    <x v="2"/>
  </r>
  <r>
    <x v="0"/>
    <s v="Tigran Mkrtchyan"/>
    <x v="2"/>
    <x v="89"/>
    <x v="69"/>
    <x v="2"/>
  </r>
  <r>
    <x v="0"/>
    <s v="Tigran Mkrtchyan"/>
    <x v="5"/>
    <x v="90"/>
    <x v="69"/>
    <x v="2"/>
  </r>
  <r>
    <x v="24"/>
    <s v="Eva Baghdasaryan"/>
    <x v="0"/>
    <x v="91"/>
    <x v="70"/>
    <x v="2"/>
  </r>
  <r>
    <x v="11"/>
    <s v="Suren Asatryan"/>
    <x v="5"/>
    <x v="92"/>
    <x v="70"/>
    <x v="2"/>
  </r>
  <r>
    <x v="11"/>
    <s v="Suren Asatryan"/>
    <x v="3"/>
    <x v="93"/>
    <x v="71"/>
    <x v="2"/>
  </r>
  <r>
    <x v="13"/>
    <s v="Mane Martirosyan"/>
    <x v="5"/>
    <x v="94"/>
    <x v="72"/>
    <x v="2"/>
  </r>
  <r>
    <x v="13"/>
    <s v="Mane Martirosyan"/>
    <x v="3"/>
    <x v="95"/>
    <x v="73"/>
    <x v="2"/>
  </r>
  <r>
    <x v="4"/>
    <s v="Mariam Sargsyan"/>
    <x v="2"/>
    <x v="96"/>
    <x v="74"/>
    <x v="2"/>
  </r>
  <r>
    <x v="8"/>
    <s v="Armen Galstyan"/>
    <x v="2"/>
    <x v="97"/>
    <x v="75"/>
    <x v="2"/>
  </r>
  <r>
    <x v="9"/>
    <s v="Gor Sargsyan"/>
    <x v="5"/>
    <x v="98"/>
    <x v="76"/>
    <x v="2"/>
  </r>
  <r>
    <x v="9"/>
    <s v="Gor Sargsyan"/>
    <x v="2"/>
    <x v="99"/>
    <x v="77"/>
    <x v="2"/>
  </r>
  <r>
    <x v="7"/>
    <s v="Mariam Hakobyan"/>
    <x v="5"/>
    <x v="100"/>
    <x v="77"/>
    <x v="2"/>
  </r>
  <r>
    <x v="4"/>
    <s v="Mariam Sargsyan"/>
    <x v="5"/>
    <x v="101"/>
    <x v="78"/>
    <x v="2"/>
  </r>
  <r>
    <x v="10"/>
    <s v="Levon Minasyan"/>
    <x v="2"/>
    <x v="102"/>
    <x v="78"/>
    <x v="2"/>
  </r>
  <r>
    <x v="3"/>
    <s v="Karen Khachatryan"/>
    <x v="2"/>
    <x v="103"/>
    <x v="79"/>
    <x v="2"/>
  </r>
  <r>
    <x v="17"/>
    <s v="Lia Davtyan"/>
    <x v="3"/>
    <x v="104"/>
    <x v="80"/>
    <x v="2"/>
  </r>
  <r>
    <x v="20"/>
    <s v="Aram Petrosyan"/>
    <x v="2"/>
    <x v="105"/>
    <x v="81"/>
    <x v="2"/>
  </r>
  <r>
    <x v="21"/>
    <s v="Robert Melikyan"/>
    <x v="5"/>
    <x v="106"/>
    <x v="81"/>
    <x v="2"/>
  </r>
  <r>
    <x v="17"/>
    <s v="Lia Davtyan"/>
    <x v="5"/>
    <x v="107"/>
    <x v="82"/>
    <x v="2"/>
  </r>
  <r>
    <x v="7"/>
    <s v="Mariam Hakobyan"/>
    <x v="1"/>
    <x v="108"/>
    <x v="83"/>
    <x v="2"/>
  </r>
  <r>
    <x v="1"/>
    <s v="Narek Avagyan"/>
    <x v="0"/>
    <x v="109"/>
    <x v="83"/>
    <x v="2"/>
  </r>
  <r>
    <x v="17"/>
    <s v="Lia Davtyan"/>
    <x v="0"/>
    <x v="110"/>
    <x v="83"/>
    <x v="2"/>
  </r>
  <r>
    <x v="23"/>
    <s v="Davit Hovhannisyan"/>
    <x v="3"/>
    <x v="111"/>
    <x v="84"/>
    <x v="2"/>
  </r>
  <r>
    <x v="7"/>
    <s v="Mariam Hakobyan"/>
    <x v="2"/>
    <x v="112"/>
    <x v="85"/>
    <x v="2"/>
  </r>
  <r>
    <x v="6"/>
    <s v="Lilit Manukyan"/>
    <x v="6"/>
    <x v="113"/>
    <x v="86"/>
    <x v="2"/>
  </r>
  <r>
    <x v="12"/>
    <s v="Nina Abrahamyan"/>
    <x v="1"/>
    <x v="114"/>
    <x v="87"/>
    <x v="2"/>
  </r>
  <r>
    <x v="20"/>
    <s v="Aram Petrosyan"/>
    <x v="5"/>
    <x v="115"/>
    <x v="88"/>
    <x v="2"/>
  </r>
  <r>
    <x v="7"/>
    <s v="Mariam Hakobyan"/>
    <x v="0"/>
    <x v="116"/>
    <x v="88"/>
    <x v="2"/>
  </r>
  <r>
    <x v="20"/>
    <s v="Aram Petrosyan"/>
    <x v="4"/>
    <x v="117"/>
    <x v="89"/>
    <x v="2"/>
  </r>
  <r>
    <x v="10"/>
    <s v="Levon Minasyan"/>
    <x v="0"/>
    <x v="118"/>
    <x v="90"/>
    <x v="2"/>
  </r>
  <r>
    <x v="14"/>
    <s v="Ani Grigoryan"/>
    <x v="4"/>
    <x v="119"/>
    <x v="91"/>
    <x v="2"/>
  </r>
  <r>
    <x v="21"/>
    <s v="Robert Melikyan"/>
    <x v="0"/>
    <x v="120"/>
    <x v="91"/>
    <x v="2"/>
  </r>
  <r>
    <x v="8"/>
    <s v="Armen Galstyan"/>
    <x v="3"/>
    <x v="121"/>
    <x v="9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6587F-B10B-4AC8-B3D8-CAB682D5F505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4:O13" firstHeaderRow="1" firstDataRow="2" firstDataCol="1"/>
  <pivotFields count="6">
    <pivotField showAll="0"/>
    <pivotField showAll="0"/>
    <pivotField axis="axisRow" showAll="0">
      <items count="8">
        <item x="1"/>
        <item x="2"/>
        <item x="3"/>
        <item x="0"/>
        <item x="6"/>
        <item x="5"/>
        <item x="4"/>
        <item t="default"/>
      </items>
    </pivotField>
    <pivotField dataField="1"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client_revenue" fld="3" baseField="0" baseItem="0"/>
  </dataFields>
  <chartFormats count="3"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C26A5-499A-4390-A7EA-CFD5FF57CF6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5:H9" firstHeaderRow="1" firstDataRow="1" firstDataCol="1"/>
  <pivotFields count="6">
    <pivotField showAll="0"/>
    <pivotField showAll="0"/>
    <pivotField showAll="0">
      <items count="8">
        <item x="1"/>
        <item x="2"/>
        <item x="3"/>
        <item x="0"/>
        <item x="6"/>
        <item x="5"/>
        <item x="4"/>
        <item t="default"/>
      </items>
    </pivotField>
    <pivotField dataField="1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by city" fld="3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363D-89FD-4194-8507-C035893E1CB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6:E14" firstHeaderRow="1" firstDataRow="1" firstDataCol="1"/>
  <pivotFields count="6">
    <pivotField showAll="0">
      <items count="26">
        <item x="20"/>
        <item x="14"/>
        <item x="9"/>
        <item x="7"/>
        <item x="1"/>
        <item x="6"/>
        <item x="23"/>
        <item x="15"/>
        <item x="22"/>
        <item x="19"/>
        <item x="0"/>
        <item x="2"/>
        <item x="3"/>
        <item x="13"/>
        <item x="8"/>
        <item x="12"/>
        <item x="21"/>
        <item x="24"/>
        <item x="5"/>
        <item x="11"/>
        <item x="4"/>
        <item x="17"/>
        <item x="16"/>
        <item x="18"/>
        <item x="10"/>
        <item t="default"/>
      </items>
    </pivotField>
    <pivotField showAll="0"/>
    <pivotField axis="axisRow" showAll="0" sortType="descending">
      <items count="8">
        <item x="1"/>
        <item x="2"/>
        <item x="3"/>
        <item x="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3">
        <item x="121"/>
        <item x="119"/>
        <item x="120"/>
        <item x="118"/>
        <item x="117"/>
        <item x="116"/>
        <item x="115"/>
        <item x="114"/>
        <item x="113"/>
        <item x="112"/>
        <item x="111"/>
        <item x="109"/>
        <item x="110"/>
        <item x="108"/>
        <item x="107"/>
        <item x="105"/>
        <item x="106"/>
        <item x="104"/>
        <item x="103"/>
        <item x="102"/>
        <item x="101"/>
        <item x="99"/>
        <item x="100"/>
        <item x="98"/>
        <item x="97"/>
        <item x="96"/>
        <item x="95"/>
        <item x="94"/>
        <item x="93"/>
        <item x="92"/>
        <item x="91"/>
        <item x="89"/>
        <item x="90"/>
        <item x="88"/>
        <item x="87"/>
        <item x="86"/>
        <item x="85"/>
        <item x="83"/>
        <item x="84"/>
        <item x="82"/>
        <item x="81"/>
        <item x="80"/>
        <item x="79"/>
        <item x="78"/>
        <item x="77"/>
        <item x="76"/>
        <item x="75"/>
        <item x="74"/>
        <item x="72"/>
        <item x="73"/>
        <item x="70"/>
        <item x="71"/>
        <item x="69"/>
        <item x="68"/>
        <item x="67"/>
        <item x="65"/>
        <item x="66"/>
        <item x="64"/>
        <item x="63"/>
        <item x="62"/>
        <item x="61"/>
        <item x="60"/>
        <item x="59"/>
        <item x="58"/>
        <item x="57"/>
        <item x="55"/>
        <item x="54"/>
        <item x="56"/>
        <item x="53"/>
        <item x="52"/>
        <item x="51"/>
        <item x="48"/>
        <item x="49"/>
        <item x="50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0"/>
        <item x="31"/>
        <item x="29"/>
        <item x="28"/>
        <item x="26"/>
        <item x="27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</pivotFields>
  <rowFields count="1">
    <field x="2"/>
  </rowFields>
  <rowItems count="8">
    <i>
      <x v="6"/>
    </i>
    <i>
      <x/>
    </i>
    <i>
      <x v="3"/>
    </i>
    <i>
      <x v="2"/>
    </i>
    <i>
      <x v="1"/>
    </i>
    <i>
      <x v="5"/>
    </i>
    <i>
      <x v="4"/>
    </i>
    <i t="grand">
      <x/>
    </i>
  </rowItems>
  <colItems count="1">
    <i/>
  </colItems>
  <dataFields count="1">
    <dataField name="Revenue by City" fld="3" baseField="0" baseItem="0"/>
  </dataFields>
  <chartFormats count="1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67DC4B-A60E-469A-A2D5-8CA60716344D}" autoFormatId="16" applyNumberFormats="0" applyBorderFormats="0" applyFontFormats="0" applyPatternFormats="0" applyAlignmentFormats="0" applyWidthHeightFormats="0">
  <queryTableRefresh nextId="17">
    <queryTableFields count="6">
      <queryTableField id="9" name="customer_id" tableColumnId="1"/>
      <queryTableField id="10" name="customer_name" tableColumnId="2"/>
      <queryTableField id="11" name="city" tableColumnId="3"/>
      <queryTableField id="12" name="client_revenue" tableColumnId="4"/>
      <queryTableField id="13" name="revenue_share" tableColumnId="5"/>
      <queryTableField id="14" name="customer_segm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EAA52-756D-48F6-B765-23B43D519AE6}" name="customer_segments" displayName="customer_segments" ref="A1:F123" tableType="queryTable" totalsRowShown="0">
  <autoFilter ref="A1:F123" xr:uid="{243EAA52-756D-48F6-B765-23B43D519AE6}"/>
  <tableColumns count="6">
    <tableColumn id="1" xr3:uid="{C9A94A34-3B00-4C2D-857B-4C786C4973FB}" uniqueName="1" name="customer_id" queryTableFieldId="9" dataDxfId="5"/>
    <tableColumn id="2" xr3:uid="{0C47BC00-BC76-4EE2-AE2A-7A54B9A926AD}" uniqueName="2" name="customer_name" queryTableFieldId="10" dataDxfId="4"/>
    <tableColumn id="3" xr3:uid="{50D40B5B-3396-43BF-BE51-CA33F995F90D}" uniqueName="3" name="city" queryTableFieldId="11" dataDxfId="3"/>
    <tableColumn id="4" xr3:uid="{6CC2800C-6577-4C79-94CF-83CDDA9C0FDF}" uniqueName="4" name="client_revenue" queryTableFieldId="12" dataDxfId="2"/>
    <tableColumn id="5" xr3:uid="{3B05640C-A967-4979-A223-2156400FFEEA}" uniqueName="5" name="revenue_share" queryTableFieldId="13" dataDxfId="1"/>
    <tableColumn id="6" xr3:uid="{73B633C9-029C-471E-BF83-6CBFECD3393E}" uniqueName="6" name="customer_segmen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0E03-64F0-454A-9CFD-F56673278631}">
  <dimension ref="D4:O14"/>
  <sheetViews>
    <sheetView topLeftCell="C1" zoomScale="71" workbookViewId="0">
      <selection activeCell="H18" sqref="H18"/>
    </sheetView>
  </sheetViews>
  <sheetFormatPr defaultRowHeight="14.4" x14ac:dyDescent="0.3"/>
  <cols>
    <col min="1" max="1" width="12.109375" customWidth="1"/>
    <col min="2" max="2" width="12.44140625" bestFit="1" customWidth="1"/>
    <col min="3" max="3" width="9.6640625" customWidth="1"/>
    <col min="4" max="4" width="15.21875" bestFit="1" customWidth="1"/>
    <col min="5" max="5" width="14.44140625" bestFit="1" customWidth="1"/>
    <col min="6" max="6" width="8.33203125" customWidth="1"/>
    <col min="7" max="7" width="15.21875" bestFit="1" customWidth="1"/>
    <col min="8" max="8" width="14.21875" bestFit="1" customWidth="1"/>
    <col min="9" max="9" width="10.5546875" bestFit="1" customWidth="1"/>
    <col min="10" max="10" width="11.77734375" customWidth="1"/>
    <col min="11" max="11" width="12.77734375" bestFit="1" customWidth="1"/>
    <col min="12" max="12" width="19.5546875" bestFit="1" customWidth="1"/>
    <col min="13" max="13" width="19.77734375" bestFit="1" customWidth="1"/>
    <col min="14" max="14" width="15.88671875" bestFit="1" customWidth="1"/>
    <col min="15" max="15" width="9.44140625" bestFit="1" customWidth="1"/>
    <col min="16" max="16" width="8.44140625" bestFit="1" customWidth="1"/>
    <col min="17" max="17" width="10.5546875" bestFit="1" customWidth="1"/>
    <col min="18" max="19" width="7" bestFit="1" customWidth="1"/>
    <col min="20" max="20" width="12.44140625" bestFit="1" customWidth="1"/>
    <col min="21" max="21" width="9.21875" bestFit="1" customWidth="1"/>
    <col min="22" max="28" width="6" bestFit="1" customWidth="1"/>
    <col min="29" max="29" width="5" bestFit="1" customWidth="1"/>
    <col min="30" max="30" width="4" bestFit="1" customWidth="1"/>
    <col min="31" max="31" width="6" bestFit="1" customWidth="1"/>
    <col min="32" max="34" width="7" bestFit="1" customWidth="1"/>
    <col min="35" max="35" width="5" bestFit="1" customWidth="1"/>
    <col min="36" max="37" width="7" bestFit="1" customWidth="1"/>
    <col min="38" max="38" width="5" bestFit="1" customWidth="1"/>
    <col min="39" max="41" width="7" bestFit="1" customWidth="1"/>
    <col min="42" max="42" width="12" bestFit="1" customWidth="1"/>
    <col min="43" max="43" width="7.109375" bestFit="1" customWidth="1"/>
    <col min="44" max="52" width="6" bestFit="1" customWidth="1"/>
    <col min="53" max="58" width="7" bestFit="1" customWidth="1"/>
    <col min="59" max="59" width="6" bestFit="1" customWidth="1"/>
    <col min="60" max="62" width="7" bestFit="1" customWidth="1"/>
    <col min="63" max="63" width="9.88671875" bestFit="1" customWidth="1"/>
    <col min="64" max="64" width="8.77734375" bestFit="1" customWidth="1"/>
    <col min="65" max="65" width="5" bestFit="1" customWidth="1"/>
    <col min="66" max="70" width="6" bestFit="1" customWidth="1"/>
    <col min="71" max="71" width="5" bestFit="1" customWidth="1"/>
    <col min="72" max="72" width="6" bestFit="1" customWidth="1"/>
    <col min="73" max="73" width="7" bestFit="1" customWidth="1"/>
    <col min="74" max="74" width="5" bestFit="1" customWidth="1"/>
    <col min="75" max="82" width="7" bestFit="1" customWidth="1"/>
    <col min="83" max="83" width="11.5546875" bestFit="1" customWidth="1"/>
    <col min="84" max="84" width="10.21875" bestFit="1" customWidth="1"/>
    <col min="85" max="85" width="13.109375" bestFit="1" customWidth="1"/>
    <col min="86" max="86" width="10.44140625" bestFit="1" customWidth="1"/>
    <col min="87" max="87" width="5" bestFit="1" customWidth="1"/>
    <col min="88" max="90" width="6" bestFit="1" customWidth="1"/>
    <col min="91" max="91" width="5" bestFit="1" customWidth="1"/>
    <col min="92" max="97" width="6" bestFit="1" customWidth="1"/>
    <col min="98" max="98" width="5" bestFit="1" customWidth="1"/>
    <col min="99" max="103" width="7" bestFit="1" customWidth="1"/>
    <col min="104" max="104" width="13.33203125" bestFit="1" customWidth="1"/>
    <col min="105" max="105" width="9.21875" bestFit="1" customWidth="1"/>
    <col min="106" max="107" width="5" bestFit="1" customWidth="1"/>
    <col min="108" max="108" width="6" bestFit="1" customWidth="1"/>
    <col min="109" max="110" width="7" bestFit="1" customWidth="1"/>
    <col min="111" max="111" width="6" bestFit="1" customWidth="1"/>
    <col min="112" max="115" width="7" bestFit="1" customWidth="1"/>
    <col min="116" max="117" width="6" bestFit="1" customWidth="1"/>
    <col min="118" max="119" width="7" bestFit="1" customWidth="1"/>
    <col min="120" max="120" width="6" bestFit="1" customWidth="1"/>
    <col min="121" max="125" width="7" bestFit="1" customWidth="1"/>
    <col min="126" max="126" width="6" bestFit="1" customWidth="1"/>
    <col min="127" max="127" width="12" bestFit="1" customWidth="1"/>
    <col min="128" max="128" width="10.5546875" bestFit="1" customWidth="1"/>
  </cols>
  <sheetData>
    <row r="4" spans="4:15" x14ac:dyDescent="0.3">
      <c r="K4" s="1" t="s">
        <v>68</v>
      </c>
      <c r="L4" s="1" t="s">
        <v>69</v>
      </c>
    </row>
    <row r="5" spans="4:15" x14ac:dyDescent="0.3">
      <c r="G5" s="1" t="s">
        <v>66</v>
      </c>
      <c r="H5" t="s">
        <v>79</v>
      </c>
      <c r="K5" s="1" t="s">
        <v>66</v>
      </c>
      <c r="L5" t="s">
        <v>60</v>
      </c>
      <c r="M5" t="s">
        <v>21</v>
      </c>
      <c r="N5" t="s">
        <v>9</v>
      </c>
      <c r="O5" t="s">
        <v>67</v>
      </c>
    </row>
    <row r="6" spans="4:15" x14ac:dyDescent="0.3">
      <c r="D6" s="1" t="s">
        <v>66</v>
      </c>
      <c r="E6" t="s">
        <v>78</v>
      </c>
      <c r="G6" s="2" t="s">
        <v>60</v>
      </c>
      <c r="H6" s="3">
        <v>7328.2800000000007</v>
      </c>
      <c r="K6" s="2" t="s">
        <v>12</v>
      </c>
      <c r="L6" s="3">
        <v>1263.2099999999996</v>
      </c>
      <c r="M6" s="3">
        <v>2234.9100000000003</v>
      </c>
      <c r="N6" s="3">
        <v>665.53</v>
      </c>
      <c r="O6" s="3">
        <v>4163.6499999999996</v>
      </c>
    </row>
    <row r="7" spans="4:15" x14ac:dyDescent="0.3">
      <c r="D7" s="2" t="s">
        <v>24</v>
      </c>
      <c r="E7" s="3">
        <v>5060.54</v>
      </c>
      <c r="G7" s="2" t="s">
        <v>21</v>
      </c>
      <c r="H7" s="3">
        <v>11133.979999999998</v>
      </c>
      <c r="K7" s="2" t="s">
        <v>15</v>
      </c>
      <c r="L7" s="3">
        <v>1194.1400000000001</v>
      </c>
      <c r="M7" s="3">
        <v>1036.81</v>
      </c>
      <c r="N7" s="3">
        <v>648.98</v>
      </c>
      <c r="O7" s="3">
        <v>2879.93</v>
      </c>
    </row>
    <row r="8" spans="4:15" x14ac:dyDescent="0.3">
      <c r="D8" s="2" t="s">
        <v>12</v>
      </c>
      <c r="E8" s="3">
        <v>4163.6499999999996</v>
      </c>
      <c r="G8" s="2" t="s">
        <v>9</v>
      </c>
      <c r="H8" s="3">
        <v>2728.54</v>
      </c>
      <c r="K8" s="2" t="s">
        <v>18</v>
      </c>
      <c r="L8" s="3">
        <v>1259.6699999999998</v>
      </c>
      <c r="M8" s="3">
        <v>1729.19</v>
      </c>
      <c r="N8" s="3">
        <v>636.38</v>
      </c>
      <c r="O8" s="3">
        <v>3625.24</v>
      </c>
    </row>
    <row r="9" spans="4:15" x14ac:dyDescent="0.3">
      <c r="D9" s="2" t="s">
        <v>8</v>
      </c>
      <c r="E9" s="3">
        <v>3679.8800000000006</v>
      </c>
      <c r="G9" s="2" t="s">
        <v>67</v>
      </c>
      <c r="H9" s="3">
        <v>21190.799999999999</v>
      </c>
      <c r="K9" s="2" t="s">
        <v>8</v>
      </c>
      <c r="L9" s="3">
        <v>1112.8899999999999</v>
      </c>
      <c r="M9" s="3">
        <v>1789.3400000000001</v>
      </c>
      <c r="N9" s="3">
        <v>777.65</v>
      </c>
      <c r="O9" s="3">
        <v>3679.88</v>
      </c>
    </row>
    <row r="10" spans="4:15" x14ac:dyDescent="0.3">
      <c r="D10" s="2" t="s">
        <v>18</v>
      </c>
      <c r="E10" s="3">
        <v>3625.2399999999993</v>
      </c>
      <c r="K10" s="2" t="s">
        <v>65</v>
      </c>
      <c r="L10" s="3">
        <v>17.46</v>
      </c>
      <c r="M10" s="3"/>
      <c r="N10" s="3"/>
      <c r="O10" s="3">
        <v>17.46</v>
      </c>
    </row>
    <row r="11" spans="4:15" x14ac:dyDescent="0.3">
      <c r="D11" s="2" t="s">
        <v>15</v>
      </c>
      <c r="E11" s="3">
        <v>2879.9299999999994</v>
      </c>
      <c r="K11" s="2" t="s">
        <v>41</v>
      </c>
      <c r="L11" s="3">
        <v>891.77</v>
      </c>
      <c r="M11" s="3">
        <v>872.33000000000015</v>
      </c>
      <c r="N11" s="3"/>
      <c r="O11" s="3">
        <v>1764.1000000000001</v>
      </c>
    </row>
    <row r="12" spans="4:15" x14ac:dyDescent="0.3">
      <c r="D12" s="2" t="s">
        <v>41</v>
      </c>
      <c r="E12" s="3">
        <v>1764.1000000000004</v>
      </c>
      <c r="K12" s="2" t="s">
        <v>24</v>
      </c>
      <c r="L12" s="3">
        <v>1589.1400000000003</v>
      </c>
      <c r="M12" s="3">
        <v>3471.4</v>
      </c>
      <c r="N12" s="3"/>
      <c r="O12" s="3">
        <v>5060.5400000000009</v>
      </c>
    </row>
    <row r="13" spans="4:15" x14ac:dyDescent="0.3">
      <c r="D13" s="2" t="s">
        <v>65</v>
      </c>
      <c r="E13" s="3">
        <v>17.46</v>
      </c>
      <c r="K13" s="2" t="s">
        <v>67</v>
      </c>
      <c r="L13" s="3">
        <v>7328.28</v>
      </c>
      <c r="M13" s="3">
        <v>11133.98</v>
      </c>
      <c r="N13" s="3">
        <v>2728.54</v>
      </c>
      <c r="O13" s="3">
        <v>21190.800000000003</v>
      </c>
    </row>
    <row r="14" spans="4:15" x14ac:dyDescent="0.3">
      <c r="D14" s="2" t="s">
        <v>67</v>
      </c>
      <c r="E14" s="3">
        <v>21190.799999999999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0599-9479-4431-A4AB-E96C177A03F4}">
  <dimension ref="L2:T7"/>
  <sheetViews>
    <sheetView tabSelected="1" zoomScale="63" workbookViewId="0">
      <selection activeCell="T12" sqref="T12"/>
    </sheetView>
  </sheetViews>
  <sheetFormatPr defaultRowHeight="14.4" x14ac:dyDescent="0.3"/>
  <cols>
    <col min="19" max="19" width="42.109375" bestFit="1" customWidth="1"/>
    <col min="20" max="20" width="41" bestFit="1" customWidth="1"/>
  </cols>
  <sheetData>
    <row r="2" spans="12:20" ht="44.4" customHeight="1" x14ac:dyDescent="0.3">
      <c r="L2" s="7" t="s">
        <v>77</v>
      </c>
      <c r="M2" s="7"/>
      <c r="N2" s="7"/>
      <c r="O2" s="7"/>
      <c r="P2" s="7"/>
      <c r="Q2" s="7"/>
      <c r="R2" s="7"/>
      <c r="S2" s="7"/>
    </row>
    <row r="3" spans="12:20" ht="15" thickBot="1" x14ac:dyDescent="0.35"/>
    <row r="4" spans="12:20" ht="18.600000000000001" thickBot="1" x14ac:dyDescent="0.35">
      <c r="S4" s="4" t="s">
        <v>80</v>
      </c>
      <c r="T4" s="4" t="s">
        <v>73</v>
      </c>
    </row>
    <row r="5" spans="12:20" ht="23.4" customHeight="1" x14ac:dyDescent="0.3">
      <c r="S5" s="6" t="s">
        <v>70</v>
      </c>
      <c r="T5" s="6" t="s">
        <v>74</v>
      </c>
    </row>
    <row r="6" spans="12:20" ht="23.4" customHeight="1" x14ac:dyDescent="0.3">
      <c r="S6" s="5" t="s">
        <v>71</v>
      </c>
      <c r="T6" s="5" t="s">
        <v>75</v>
      </c>
    </row>
    <row r="7" spans="12:20" ht="23.4" customHeight="1" x14ac:dyDescent="0.3">
      <c r="S7" s="5" t="s">
        <v>72</v>
      </c>
      <c r="T7" s="5" t="s">
        <v>76</v>
      </c>
    </row>
  </sheetData>
  <mergeCells count="1">
    <mergeCell ref="L2:S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5A48-FA1C-41CB-B808-F7EFD4F6CD20}">
  <dimension ref="A1:F123"/>
  <sheetViews>
    <sheetView topLeftCell="A2" workbookViewId="0">
      <selection activeCell="D10" sqref="A2:F123"/>
    </sheetView>
  </sheetViews>
  <sheetFormatPr defaultRowHeight="14.4" x14ac:dyDescent="0.3"/>
  <cols>
    <col min="1" max="1" width="13.5546875" bestFit="1" customWidth="1"/>
    <col min="2" max="2" width="16.6640625" bestFit="1" customWidth="1"/>
    <col min="3" max="3" width="8.5546875" bestFit="1" customWidth="1"/>
    <col min="4" max="4" width="15.44140625" bestFit="1" customWidth="1"/>
    <col min="5" max="5" width="15.109375" bestFit="1" customWidth="1"/>
    <col min="6" max="6" width="19.109375" bestFit="1" customWidth="1"/>
    <col min="7" max="7" width="15.109375" bestFit="1" customWidth="1"/>
    <col min="8" max="8" width="1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777.65</v>
      </c>
      <c r="E2">
        <v>3.67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665.53</v>
      </c>
      <c r="E3">
        <v>3.14</v>
      </c>
      <c r="F3" t="s">
        <v>9</v>
      </c>
    </row>
    <row r="4" spans="1:6" x14ac:dyDescent="0.3">
      <c r="A4" t="s">
        <v>13</v>
      </c>
      <c r="B4" t="s">
        <v>14</v>
      </c>
      <c r="C4" t="s">
        <v>15</v>
      </c>
      <c r="D4">
        <v>648.98</v>
      </c>
      <c r="E4">
        <v>3.06</v>
      </c>
      <c r="F4" t="s">
        <v>9</v>
      </c>
    </row>
    <row r="5" spans="1:6" x14ac:dyDescent="0.3">
      <c r="A5" t="s">
        <v>16</v>
      </c>
      <c r="B5" t="s">
        <v>17</v>
      </c>
      <c r="C5" t="s">
        <v>18</v>
      </c>
      <c r="D5">
        <v>636.38</v>
      </c>
      <c r="E5">
        <v>3</v>
      </c>
      <c r="F5" t="s">
        <v>9</v>
      </c>
    </row>
    <row r="6" spans="1:6" x14ac:dyDescent="0.3">
      <c r="A6" t="s">
        <v>19</v>
      </c>
      <c r="B6" t="s">
        <v>20</v>
      </c>
      <c r="C6" t="s">
        <v>18</v>
      </c>
      <c r="D6">
        <v>618.16999999999996</v>
      </c>
      <c r="E6">
        <v>2.92</v>
      </c>
      <c r="F6" t="s">
        <v>21</v>
      </c>
    </row>
    <row r="7" spans="1:6" x14ac:dyDescent="0.3">
      <c r="A7" t="s">
        <v>22</v>
      </c>
      <c r="B7" t="s">
        <v>23</v>
      </c>
      <c r="C7" t="s">
        <v>24</v>
      </c>
      <c r="D7">
        <v>616.1</v>
      </c>
      <c r="E7">
        <v>2.91</v>
      </c>
      <c r="F7" t="s">
        <v>21</v>
      </c>
    </row>
    <row r="8" spans="1:6" x14ac:dyDescent="0.3">
      <c r="A8" t="s">
        <v>25</v>
      </c>
      <c r="B8" t="s">
        <v>26</v>
      </c>
      <c r="C8" t="s">
        <v>12</v>
      </c>
      <c r="D8">
        <v>545.66</v>
      </c>
      <c r="E8">
        <v>2.57</v>
      </c>
      <c r="F8" t="s">
        <v>21</v>
      </c>
    </row>
    <row r="9" spans="1:6" x14ac:dyDescent="0.3">
      <c r="A9" t="s">
        <v>27</v>
      </c>
      <c r="B9" t="s">
        <v>28</v>
      </c>
      <c r="C9" t="s">
        <v>24</v>
      </c>
      <c r="D9">
        <v>542.87</v>
      </c>
      <c r="E9">
        <v>2.56</v>
      </c>
      <c r="F9" t="s">
        <v>21</v>
      </c>
    </row>
    <row r="10" spans="1:6" x14ac:dyDescent="0.3">
      <c r="A10" t="s">
        <v>29</v>
      </c>
      <c r="B10" t="s">
        <v>30</v>
      </c>
      <c r="C10" t="s">
        <v>8</v>
      </c>
      <c r="D10">
        <v>530.67999999999995</v>
      </c>
      <c r="E10">
        <v>2.5</v>
      </c>
      <c r="F10" t="s">
        <v>21</v>
      </c>
    </row>
    <row r="11" spans="1:6" x14ac:dyDescent="0.3">
      <c r="A11" t="s">
        <v>31</v>
      </c>
      <c r="B11" t="s">
        <v>32</v>
      </c>
      <c r="C11" t="s">
        <v>24</v>
      </c>
      <c r="D11">
        <v>481.06</v>
      </c>
      <c r="E11">
        <v>2.27</v>
      </c>
      <c r="F11" t="s">
        <v>21</v>
      </c>
    </row>
    <row r="12" spans="1:6" x14ac:dyDescent="0.3">
      <c r="A12" t="s">
        <v>33</v>
      </c>
      <c r="B12" t="s">
        <v>34</v>
      </c>
      <c r="C12" t="s">
        <v>12</v>
      </c>
      <c r="D12">
        <v>472.35</v>
      </c>
      <c r="E12">
        <v>2.23</v>
      </c>
      <c r="F12" t="s">
        <v>21</v>
      </c>
    </row>
    <row r="13" spans="1:6" x14ac:dyDescent="0.3">
      <c r="A13" t="s">
        <v>35</v>
      </c>
      <c r="B13" t="s">
        <v>36</v>
      </c>
      <c r="C13" t="s">
        <v>24</v>
      </c>
      <c r="D13">
        <v>443.48</v>
      </c>
      <c r="E13">
        <v>2.09</v>
      </c>
      <c r="F13" t="s">
        <v>21</v>
      </c>
    </row>
    <row r="14" spans="1:6" x14ac:dyDescent="0.3">
      <c r="A14" t="s">
        <v>16</v>
      </c>
      <c r="B14" t="s">
        <v>17</v>
      </c>
      <c r="C14" t="s">
        <v>8</v>
      </c>
      <c r="D14">
        <v>405.12</v>
      </c>
      <c r="E14">
        <v>1.91</v>
      </c>
      <c r="F14" t="s">
        <v>21</v>
      </c>
    </row>
    <row r="15" spans="1:6" x14ac:dyDescent="0.3">
      <c r="A15" t="s">
        <v>35</v>
      </c>
      <c r="B15" t="s">
        <v>36</v>
      </c>
      <c r="C15" t="s">
        <v>12</v>
      </c>
      <c r="D15">
        <v>400.67</v>
      </c>
      <c r="E15">
        <v>1.89</v>
      </c>
      <c r="F15" t="s">
        <v>21</v>
      </c>
    </row>
    <row r="16" spans="1:6" x14ac:dyDescent="0.3">
      <c r="A16" t="s">
        <v>27</v>
      </c>
      <c r="B16" t="s">
        <v>28</v>
      </c>
      <c r="C16" t="s">
        <v>18</v>
      </c>
      <c r="D16">
        <v>361.73</v>
      </c>
      <c r="E16">
        <v>1.71</v>
      </c>
      <c r="F16" t="s">
        <v>21</v>
      </c>
    </row>
    <row r="17" spans="1:6" x14ac:dyDescent="0.3">
      <c r="A17" t="s">
        <v>37</v>
      </c>
      <c r="B17" t="s">
        <v>38</v>
      </c>
      <c r="C17" t="s">
        <v>8</v>
      </c>
      <c r="D17">
        <v>343.27</v>
      </c>
      <c r="E17">
        <v>1.62</v>
      </c>
      <c r="F17" t="s">
        <v>21</v>
      </c>
    </row>
    <row r="18" spans="1:6" x14ac:dyDescent="0.3">
      <c r="A18" t="s">
        <v>39</v>
      </c>
      <c r="B18" t="s">
        <v>40</v>
      </c>
      <c r="C18" t="s">
        <v>24</v>
      </c>
      <c r="D18">
        <v>326.49</v>
      </c>
      <c r="E18">
        <v>1.54</v>
      </c>
      <c r="F18" t="s">
        <v>21</v>
      </c>
    </row>
    <row r="19" spans="1:6" x14ac:dyDescent="0.3">
      <c r="A19" t="s">
        <v>13</v>
      </c>
      <c r="B19" t="s">
        <v>14</v>
      </c>
      <c r="C19" t="s">
        <v>41</v>
      </c>
      <c r="D19">
        <v>314.35000000000002</v>
      </c>
      <c r="E19">
        <v>1.48</v>
      </c>
      <c r="F19" t="s">
        <v>21</v>
      </c>
    </row>
    <row r="20" spans="1:6" x14ac:dyDescent="0.3">
      <c r="A20" t="s">
        <v>39</v>
      </c>
      <c r="B20" t="s">
        <v>40</v>
      </c>
      <c r="C20" t="s">
        <v>12</v>
      </c>
      <c r="D20">
        <v>300.41000000000003</v>
      </c>
      <c r="E20">
        <v>1.42</v>
      </c>
      <c r="F20" t="s">
        <v>21</v>
      </c>
    </row>
    <row r="21" spans="1:6" x14ac:dyDescent="0.3">
      <c r="A21" t="s">
        <v>42</v>
      </c>
      <c r="B21" t="s">
        <v>43</v>
      </c>
      <c r="C21" t="s">
        <v>41</v>
      </c>
      <c r="D21">
        <v>290.81</v>
      </c>
      <c r="E21">
        <v>1.37</v>
      </c>
      <c r="F21" t="s">
        <v>21</v>
      </c>
    </row>
    <row r="22" spans="1:6" x14ac:dyDescent="0.3">
      <c r="A22" t="s">
        <v>44</v>
      </c>
      <c r="B22" t="s">
        <v>45</v>
      </c>
      <c r="C22" t="s">
        <v>15</v>
      </c>
      <c r="D22">
        <v>289.38</v>
      </c>
      <c r="E22">
        <v>1.37</v>
      </c>
      <c r="F22" t="s">
        <v>21</v>
      </c>
    </row>
    <row r="23" spans="1:6" x14ac:dyDescent="0.3">
      <c r="A23" t="s">
        <v>31</v>
      </c>
      <c r="B23" t="s">
        <v>32</v>
      </c>
      <c r="C23" t="s">
        <v>18</v>
      </c>
      <c r="D23">
        <v>283.89999999999998</v>
      </c>
      <c r="E23">
        <v>1.34</v>
      </c>
      <c r="F23" t="s">
        <v>21</v>
      </c>
    </row>
    <row r="24" spans="1:6" x14ac:dyDescent="0.3">
      <c r="A24" t="s">
        <v>46</v>
      </c>
      <c r="B24" t="s">
        <v>47</v>
      </c>
      <c r="C24" t="s">
        <v>15</v>
      </c>
      <c r="D24">
        <v>281.22000000000003</v>
      </c>
      <c r="E24">
        <v>1.33</v>
      </c>
      <c r="F24" t="s">
        <v>21</v>
      </c>
    </row>
    <row r="25" spans="1:6" x14ac:dyDescent="0.3">
      <c r="A25" t="s">
        <v>48</v>
      </c>
      <c r="B25" t="s">
        <v>49</v>
      </c>
      <c r="C25" t="s">
        <v>24</v>
      </c>
      <c r="D25">
        <v>277.47000000000003</v>
      </c>
      <c r="E25">
        <v>1.31</v>
      </c>
      <c r="F25" t="s">
        <v>21</v>
      </c>
    </row>
    <row r="26" spans="1:6" x14ac:dyDescent="0.3">
      <c r="A26" t="s">
        <v>50</v>
      </c>
      <c r="B26" t="s">
        <v>51</v>
      </c>
      <c r="C26" t="s">
        <v>8</v>
      </c>
      <c r="D26">
        <v>274.35000000000002</v>
      </c>
      <c r="E26">
        <v>1.29</v>
      </c>
      <c r="F26" t="s">
        <v>21</v>
      </c>
    </row>
    <row r="27" spans="1:6" x14ac:dyDescent="0.3">
      <c r="A27" t="s">
        <v>46</v>
      </c>
      <c r="B27" t="s">
        <v>47</v>
      </c>
      <c r="C27" t="s">
        <v>24</v>
      </c>
      <c r="D27">
        <v>271.89999999999998</v>
      </c>
      <c r="E27">
        <v>1.28</v>
      </c>
      <c r="F27" t="s">
        <v>21</v>
      </c>
    </row>
    <row r="28" spans="1:6" x14ac:dyDescent="0.3">
      <c r="A28" t="s">
        <v>16</v>
      </c>
      <c r="B28" t="s">
        <v>17</v>
      </c>
      <c r="C28" t="s">
        <v>12</v>
      </c>
      <c r="D28">
        <v>267.16000000000003</v>
      </c>
      <c r="E28">
        <v>1.26</v>
      </c>
      <c r="F28" t="s">
        <v>21</v>
      </c>
    </row>
    <row r="29" spans="1:6" x14ac:dyDescent="0.3">
      <c r="A29" t="s">
        <v>16</v>
      </c>
      <c r="B29" t="s">
        <v>17</v>
      </c>
      <c r="C29" t="s">
        <v>41</v>
      </c>
      <c r="D29">
        <v>267.17</v>
      </c>
      <c r="E29">
        <v>1.26</v>
      </c>
      <c r="F29" t="s">
        <v>21</v>
      </c>
    </row>
    <row r="30" spans="1:6" x14ac:dyDescent="0.3">
      <c r="A30" t="s">
        <v>52</v>
      </c>
      <c r="B30" t="s">
        <v>53</v>
      </c>
      <c r="C30" t="s">
        <v>24</v>
      </c>
      <c r="D30">
        <v>263.14</v>
      </c>
      <c r="E30">
        <v>1.24</v>
      </c>
      <c r="F30" t="s">
        <v>21</v>
      </c>
    </row>
    <row r="31" spans="1:6" x14ac:dyDescent="0.3">
      <c r="A31" t="s">
        <v>37</v>
      </c>
      <c r="B31" t="s">
        <v>38</v>
      </c>
      <c r="C31" t="s">
        <v>15</v>
      </c>
      <c r="D31">
        <v>252</v>
      </c>
      <c r="E31">
        <v>1.19</v>
      </c>
      <c r="F31" t="s">
        <v>21</v>
      </c>
    </row>
    <row r="32" spans="1:6" x14ac:dyDescent="0.3">
      <c r="A32" t="s">
        <v>54</v>
      </c>
      <c r="B32" t="s">
        <v>55</v>
      </c>
      <c r="C32" t="s">
        <v>12</v>
      </c>
      <c r="D32">
        <v>248.66</v>
      </c>
      <c r="E32">
        <v>1.17</v>
      </c>
      <c r="F32" t="s">
        <v>21</v>
      </c>
    </row>
    <row r="33" spans="1:6" x14ac:dyDescent="0.3">
      <c r="A33" t="s">
        <v>13</v>
      </c>
      <c r="B33" t="s">
        <v>14</v>
      </c>
      <c r="C33" t="s">
        <v>24</v>
      </c>
      <c r="D33">
        <v>248.89</v>
      </c>
      <c r="E33">
        <v>1.17</v>
      </c>
      <c r="F33" t="s">
        <v>21</v>
      </c>
    </row>
    <row r="34" spans="1:6" x14ac:dyDescent="0.3">
      <c r="A34" t="s">
        <v>52</v>
      </c>
      <c r="B34" t="s">
        <v>53</v>
      </c>
      <c r="C34" t="s">
        <v>18</v>
      </c>
      <c r="D34">
        <v>236.75</v>
      </c>
      <c r="E34">
        <v>1.1200000000000001</v>
      </c>
      <c r="F34" t="s">
        <v>21</v>
      </c>
    </row>
    <row r="35" spans="1:6" x14ac:dyDescent="0.3">
      <c r="A35" t="s">
        <v>31</v>
      </c>
      <c r="B35" t="s">
        <v>32</v>
      </c>
      <c r="C35" t="s">
        <v>8</v>
      </c>
      <c r="D35">
        <v>235.92</v>
      </c>
      <c r="E35">
        <v>1.1100000000000001</v>
      </c>
      <c r="F35" t="s">
        <v>21</v>
      </c>
    </row>
    <row r="36" spans="1:6" x14ac:dyDescent="0.3">
      <c r="A36" t="s">
        <v>13</v>
      </c>
      <c r="B36" t="s">
        <v>14</v>
      </c>
      <c r="C36" t="s">
        <v>18</v>
      </c>
      <c r="D36">
        <v>228.64</v>
      </c>
      <c r="E36">
        <v>1.08</v>
      </c>
      <c r="F36" t="s">
        <v>21</v>
      </c>
    </row>
    <row r="37" spans="1:6" x14ac:dyDescent="0.3">
      <c r="A37" t="s">
        <v>56</v>
      </c>
      <c r="B37" t="s">
        <v>57</v>
      </c>
      <c r="C37" t="s">
        <v>15</v>
      </c>
      <c r="D37">
        <v>214.21</v>
      </c>
      <c r="E37">
        <v>1.01</v>
      </c>
      <c r="F37" t="s">
        <v>21</v>
      </c>
    </row>
    <row r="38" spans="1:6" x14ac:dyDescent="0.3">
      <c r="A38" t="s">
        <v>58</v>
      </c>
      <c r="B38" t="s">
        <v>59</v>
      </c>
      <c r="C38" t="s">
        <v>8</v>
      </c>
      <c r="D38">
        <v>209.71</v>
      </c>
      <c r="E38">
        <v>0.99</v>
      </c>
      <c r="F38" t="s">
        <v>60</v>
      </c>
    </row>
    <row r="39" spans="1:6" x14ac:dyDescent="0.3">
      <c r="A39" t="s">
        <v>10</v>
      </c>
      <c r="B39" t="s">
        <v>11</v>
      </c>
      <c r="C39" t="s">
        <v>18</v>
      </c>
      <c r="D39">
        <v>207.48</v>
      </c>
      <c r="E39">
        <v>0.98</v>
      </c>
      <c r="F39" t="s">
        <v>60</v>
      </c>
    </row>
    <row r="40" spans="1:6" x14ac:dyDescent="0.3">
      <c r="A40" t="s">
        <v>25</v>
      </c>
      <c r="B40" t="s">
        <v>26</v>
      </c>
      <c r="C40" t="s">
        <v>24</v>
      </c>
      <c r="D40">
        <v>191.1</v>
      </c>
      <c r="E40">
        <v>0.9</v>
      </c>
      <c r="F40" t="s">
        <v>60</v>
      </c>
    </row>
    <row r="41" spans="1:6" x14ac:dyDescent="0.3">
      <c r="A41" t="s">
        <v>10</v>
      </c>
      <c r="B41" t="s">
        <v>11</v>
      </c>
      <c r="C41" t="s">
        <v>24</v>
      </c>
      <c r="D41">
        <v>186.2</v>
      </c>
      <c r="E41">
        <v>0.88</v>
      </c>
      <c r="F41" t="s">
        <v>60</v>
      </c>
    </row>
    <row r="42" spans="1:6" x14ac:dyDescent="0.3">
      <c r="A42" t="s">
        <v>50</v>
      </c>
      <c r="B42" t="s">
        <v>51</v>
      </c>
      <c r="C42" t="s">
        <v>12</v>
      </c>
      <c r="D42">
        <v>178.59</v>
      </c>
      <c r="E42">
        <v>0.84</v>
      </c>
      <c r="F42" t="s">
        <v>60</v>
      </c>
    </row>
    <row r="43" spans="1:6" x14ac:dyDescent="0.3">
      <c r="A43" t="s">
        <v>61</v>
      </c>
      <c r="B43" t="s">
        <v>62</v>
      </c>
      <c r="C43" t="s">
        <v>15</v>
      </c>
      <c r="D43">
        <v>172.41</v>
      </c>
      <c r="E43">
        <v>0.81</v>
      </c>
      <c r="F43" t="s">
        <v>60</v>
      </c>
    </row>
    <row r="44" spans="1:6" x14ac:dyDescent="0.3">
      <c r="A44" t="s">
        <v>13</v>
      </c>
      <c r="B44" t="s">
        <v>14</v>
      </c>
      <c r="C44" t="s">
        <v>8</v>
      </c>
      <c r="D44">
        <v>163.36000000000001</v>
      </c>
      <c r="E44">
        <v>0.77</v>
      </c>
      <c r="F44" t="s">
        <v>60</v>
      </c>
    </row>
    <row r="45" spans="1:6" x14ac:dyDescent="0.3">
      <c r="A45" t="s">
        <v>29</v>
      </c>
      <c r="B45" t="s">
        <v>30</v>
      </c>
      <c r="C45" t="s">
        <v>24</v>
      </c>
      <c r="D45">
        <v>162.62</v>
      </c>
      <c r="E45">
        <v>0.77</v>
      </c>
      <c r="F45" t="s">
        <v>60</v>
      </c>
    </row>
    <row r="46" spans="1:6" x14ac:dyDescent="0.3">
      <c r="A46" t="s">
        <v>63</v>
      </c>
      <c r="B46" t="s">
        <v>64</v>
      </c>
      <c r="C46" t="s">
        <v>24</v>
      </c>
      <c r="D46">
        <v>159.97999999999999</v>
      </c>
      <c r="E46">
        <v>0.75</v>
      </c>
      <c r="F46" t="s">
        <v>60</v>
      </c>
    </row>
    <row r="47" spans="1:6" x14ac:dyDescent="0.3">
      <c r="A47" t="s">
        <v>46</v>
      </c>
      <c r="B47" t="s">
        <v>47</v>
      </c>
      <c r="C47" t="s">
        <v>18</v>
      </c>
      <c r="D47">
        <v>156.65</v>
      </c>
      <c r="E47">
        <v>0.74</v>
      </c>
      <c r="F47" t="s">
        <v>60</v>
      </c>
    </row>
    <row r="48" spans="1:6" x14ac:dyDescent="0.3">
      <c r="A48" t="s">
        <v>56</v>
      </c>
      <c r="B48" t="s">
        <v>57</v>
      </c>
      <c r="C48" t="s">
        <v>12</v>
      </c>
      <c r="D48">
        <v>150.85</v>
      </c>
      <c r="E48">
        <v>0.71</v>
      </c>
      <c r="F48" t="s">
        <v>60</v>
      </c>
    </row>
    <row r="49" spans="1:6" x14ac:dyDescent="0.3">
      <c r="A49" t="s">
        <v>56</v>
      </c>
      <c r="B49" t="s">
        <v>57</v>
      </c>
      <c r="C49" t="s">
        <v>24</v>
      </c>
      <c r="D49">
        <v>148.56</v>
      </c>
      <c r="E49">
        <v>0.7</v>
      </c>
      <c r="F49" t="s">
        <v>60</v>
      </c>
    </row>
    <row r="50" spans="1:6" x14ac:dyDescent="0.3">
      <c r="A50" t="s">
        <v>25</v>
      </c>
      <c r="B50" t="s">
        <v>26</v>
      </c>
      <c r="C50" t="s">
        <v>8</v>
      </c>
      <c r="D50">
        <v>144</v>
      </c>
      <c r="E50">
        <v>0.68</v>
      </c>
      <c r="F50" t="s">
        <v>60</v>
      </c>
    </row>
    <row r="51" spans="1:6" x14ac:dyDescent="0.3">
      <c r="A51" t="s">
        <v>44</v>
      </c>
      <c r="B51" t="s">
        <v>45</v>
      </c>
      <c r="C51" t="s">
        <v>12</v>
      </c>
      <c r="D51">
        <v>144.41999999999999</v>
      </c>
      <c r="E51">
        <v>0.68</v>
      </c>
      <c r="F51" t="s">
        <v>60</v>
      </c>
    </row>
    <row r="52" spans="1:6" x14ac:dyDescent="0.3">
      <c r="A52" t="s">
        <v>63</v>
      </c>
      <c r="B52" t="s">
        <v>64</v>
      </c>
      <c r="C52" t="s">
        <v>18</v>
      </c>
      <c r="D52">
        <v>144.66999999999999</v>
      </c>
      <c r="E52">
        <v>0.68</v>
      </c>
      <c r="F52" t="s">
        <v>60</v>
      </c>
    </row>
    <row r="53" spans="1:6" x14ac:dyDescent="0.3">
      <c r="A53" t="s">
        <v>35</v>
      </c>
      <c r="B53" t="s">
        <v>36</v>
      </c>
      <c r="C53" t="s">
        <v>15</v>
      </c>
      <c r="D53">
        <v>140</v>
      </c>
      <c r="E53">
        <v>0.66</v>
      </c>
      <c r="F53" t="s">
        <v>60</v>
      </c>
    </row>
    <row r="54" spans="1:6" x14ac:dyDescent="0.3">
      <c r="A54" t="s">
        <v>46</v>
      </c>
      <c r="B54" t="s">
        <v>47</v>
      </c>
      <c r="C54" t="s">
        <v>12</v>
      </c>
      <c r="D54">
        <v>139.94999999999999</v>
      </c>
      <c r="E54">
        <v>0.66</v>
      </c>
      <c r="F54" t="s">
        <v>60</v>
      </c>
    </row>
    <row r="55" spans="1:6" x14ac:dyDescent="0.3">
      <c r="A55" t="s">
        <v>39</v>
      </c>
      <c r="B55" t="s">
        <v>40</v>
      </c>
      <c r="C55" t="s">
        <v>8</v>
      </c>
      <c r="D55">
        <v>138.57</v>
      </c>
      <c r="E55">
        <v>0.65</v>
      </c>
      <c r="F55" t="s">
        <v>60</v>
      </c>
    </row>
    <row r="56" spans="1:6" x14ac:dyDescent="0.3">
      <c r="A56" t="s">
        <v>54</v>
      </c>
      <c r="B56" t="s">
        <v>55</v>
      </c>
      <c r="C56" t="s">
        <v>18</v>
      </c>
      <c r="D56">
        <v>131.72999999999999</v>
      </c>
      <c r="E56">
        <v>0.62</v>
      </c>
      <c r="F56" t="s">
        <v>60</v>
      </c>
    </row>
    <row r="57" spans="1:6" x14ac:dyDescent="0.3">
      <c r="A57" t="s">
        <v>31</v>
      </c>
      <c r="B57" t="s">
        <v>32</v>
      </c>
      <c r="C57" t="s">
        <v>12</v>
      </c>
      <c r="D57">
        <v>130.62</v>
      </c>
      <c r="E57">
        <v>0.62</v>
      </c>
      <c r="F57" t="s">
        <v>60</v>
      </c>
    </row>
    <row r="58" spans="1:6" x14ac:dyDescent="0.3">
      <c r="A58" t="s">
        <v>37</v>
      </c>
      <c r="B58" t="s">
        <v>38</v>
      </c>
      <c r="C58" t="s">
        <v>24</v>
      </c>
      <c r="D58">
        <v>131.84</v>
      </c>
      <c r="E58">
        <v>0.62</v>
      </c>
      <c r="F58" t="s">
        <v>60</v>
      </c>
    </row>
    <row r="59" spans="1:6" x14ac:dyDescent="0.3">
      <c r="A59" t="s">
        <v>44</v>
      </c>
      <c r="B59" t="s">
        <v>45</v>
      </c>
      <c r="C59" t="s">
        <v>24</v>
      </c>
      <c r="D59">
        <v>126.6</v>
      </c>
      <c r="E59">
        <v>0.6</v>
      </c>
      <c r="F59" t="s">
        <v>60</v>
      </c>
    </row>
    <row r="60" spans="1:6" x14ac:dyDescent="0.3">
      <c r="A60" t="s">
        <v>63</v>
      </c>
      <c r="B60" t="s">
        <v>64</v>
      </c>
      <c r="C60" t="s">
        <v>41</v>
      </c>
      <c r="D60">
        <v>126.38</v>
      </c>
      <c r="E60">
        <v>0.6</v>
      </c>
      <c r="F60" t="s">
        <v>60</v>
      </c>
    </row>
    <row r="61" spans="1:6" x14ac:dyDescent="0.3">
      <c r="A61" t="s">
        <v>48</v>
      </c>
      <c r="B61" t="s">
        <v>49</v>
      </c>
      <c r="C61" t="s">
        <v>15</v>
      </c>
      <c r="D61">
        <v>124.32</v>
      </c>
      <c r="E61">
        <v>0.59</v>
      </c>
      <c r="F61" t="s">
        <v>60</v>
      </c>
    </row>
    <row r="62" spans="1:6" x14ac:dyDescent="0.3">
      <c r="A62" t="s">
        <v>22</v>
      </c>
      <c r="B62" t="s">
        <v>23</v>
      </c>
      <c r="C62" t="s">
        <v>18</v>
      </c>
      <c r="D62">
        <v>123.6</v>
      </c>
      <c r="E62">
        <v>0.57999999999999996</v>
      </c>
      <c r="F62" t="s">
        <v>60</v>
      </c>
    </row>
    <row r="63" spans="1:6" x14ac:dyDescent="0.3">
      <c r="A63" t="s">
        <v>16</v>
      </c>
      <c r="B63" t="s">
        <v>17</v>
      </c>
      <c r="C63" t="s">
        <v>24</v>
      </c>
      <c r="D63">
        <v>108.16</v>
      </c>
      <c r="E63">
        <v>0.51</v>
      </c>
      <c r="F63" t="s">
        <v>60</v>
      </c>
    </row>
    <row r="64" spans="1:6" x14ac:dyDescent="0.3">
      <c r="A64" t="s">
        <v>42</v>
      </c>
      <c r="B64" t="s">
        <v>43</v>
      </c>
      <c r="C64" t="s">
        <v>12</v>
      </c>
      <c r="D64">
        <v>106.52</v>
      </c>
      <c r="E64">
        <v>0.5</v>
      </c>
      <c r="F64" t="s">
        <v>60</v>
      </c>
    </row>
    <row r="65" spans="1:6" x14ac:dyDescent="0.3">
      <c r="A65" t="s">
        <v>19</v>
      </c>
      <c r="B65" t="s">
        <v>20</v>
      </c>
      <c r="C65" t="s">
        <v>12</v>
      </c>
      <c r="D65">
        <v>106.36</v>
      </c>
      <c r="E65">
        <v>0.5</v>
      </c>
      <c r="F65" t="s">
        <v>60</v>
      </c>
    </row>
    <row r="66" spans="1:6" x14ac:dyDescent="0.3">
      <c r="A66" t="s">
        <v>29</v>
      </c>
      <c r="B66" t="s">
        <v>30</v>
      </c>
      <c r="C66" t="s">
        <v>12</v>
      </c>
      <c r="D66">
        <v>102.86</v>
      </c>
      <c r="E66">
        <v>0.49</v>
      </c>
      <c r="F66" t="s">
        <v>60</v>
      </c>
    </row>
    <row r="67" spans="1:6" x14ac:dyDescent="0.3">
      <c r="A67" t="s">
        <v>29</v>
      </c>
      <c r="B67" t="s">
        <v>30</v>
      </c>
      <c r="C67" t="s">
        <v>41</v>
      </c>
      <c r="D67">
        <v>101.85</v>
      </c>
      <c r="E67">
        <v>0.48</v>
      </c>
      <c r="F67" t="s">
        <v>60</v>
      </c>
    </row>
    <row r="68" spans="1:6" x14ac:dyDescent="0.3">
      <c r="A68" t="s">
        <v>22</v>
      </c>
      <c r="B68" t="s">
        <v>23</v>
      </c>
      <c r="C68" t="s">
        <v>15</v>
      </c>
      <c r="D68">
        <v>102.24</v>
      </c>
      <c r="E68">
        <v>0.48</v>
      </c>
      <c r="F68" t="s">
        <v>60</v>
      </c>
    </row>
    <row r="69" spans="1:6" x14ac:dyDescent="0.3">
      <c r="A69" t="s">
        <v>63</v>
      </c>
      <c r="B69" t="s">
        <v>64</v>
      </c>
      <c r="C69" t="s">
        <v>15</v>
      </c>
      <c r="D69">
        <v>100.08</v>
      </c>
      <c r="E69">
        <v>0.47</v>
      </c>
      <c r="F69" t="s">
        <v>60</v>
      </c>
    </row>
    <row r="70" spans="1:6" x14ac:dyDescent="0.3">
      <c r="A70" t="s">
        <v>58</v>
      </c>
      <c r="B70" t="s">
        <v>59</v>
      </c>
      <c r="C70" t="s">
        <v>24</v>
      </c>
      <c r="D70">
        <v>98.16</v>
      </c>
      <c r="E70">
        <v>0.46</v>
      </c>
      <c r="F70" t="s">
        <v>60</v>
      </c>
    </row>
    <row r="71" spans="1:6" x14ac:dyDescent="0.3">
      <c r="A71" t="s">
        <v>19</v>
      </c>
      <c r="B71" t="s">
        <v>20</v>
      </c>
      <c r="C71" t="s">
        <v>24</v>
      </c>
      <c r="D71">
        <v>97.68</v>
      </c>
      <c r="E71">
        <v>0.46</v>
      </c>
      <c r="F71" t="s">
        <v>60</v>
      </c>
    </row>
    <row r="72" spans="1:6" x14ac:dyDescent="0.3">
      <c r="A72" t="s">
        <v>39</v>
      </c>
      <c r="B72" t="s">
        <v>40</v>
      </c>
      <c r="C72" t="s">
        <v>15</v>
      </c>
      <c r="D72">
        <v>95.35</v>
      </c>
      <c r="E72">
        <v>0.45</v>
      </c>
      <c r="F72" t="s">
        <v>60</v>
      </c>
    </row>
    <row r="73" spans="1:6" x14ac:dyDescent="0.3">
      <c r="A73" t="s">
        <v>33</v>
      </c>
      <c r="B73" t="s">
        <v>34</v>
      </c>
      <c r="C73" t="s">
        <v>24</v>
      </c>
      <c r="D73">
        <v>95.67</v>
      </c>
      <c r="E73">
        <v>0.45</v>
      </c>
      <c r="F73" t="s">
        <v>60</v>
      </c>
    </row>
    <row r="74" spans="1:6" x14ac:dyDescent="0.3">
      <c r="A74" t="s">
        <v>25</v>
      </c>
      <c r="B74" t="s">
        <v>26</v>
      </c>
      <c r="C74" t="s">
        <v>41</v>
      </c>
      <c r="D74">
        <v>92.4</v>
      </c>
      <c r="E74">
        <v>0.44</v>
      </c>
      <c r="F74" t="s">
        <v>60</v>
      </c>
    </row>
    <row r="75" spans="1:6" x14ac:dyDescent="0.3">
      <c r="A75" t="s">
        <v>37</v>
      </c>
      <c r="B75" t="s">
        <v>38</v>
      </c>
      <c r="C75" t="s">
        <v>18</v>
      </c>
      <c r="D75">
        <v>92.99</v>
      </c>
      <c r="E75">
        <v>0.44</v>
      </c>
      <c r="F75" t="s">
        <v>60</v>
      </c>
    </row>
    <row r="76" spans="1:6" x14ac:dyDescent="0.3">
      <c r="A76" t="s">
        <v>42</v>
      </c>
      <c r="B76" t="s">
        <v>43</v>
      </c>
      <c r="C76" t="s">
        <v>8</v>
      </c>
      <c r="D76">
        <v>90.15</v>
      </c>
      <c r="E76">
        <v>0.43</v>
      </c>
      <c r="F76" t="s">
        <v>60</v>
      </c>
    </row>
    <row r="77" spans="1:6" x14ac:dyDescent="0.3">
      <c r="A77" t="s">
        <v>58</v>
      </c>
      <c r="B77" t="s">
        <v>59</v>
      </c>
      <c r="C77" t="s">
        <v>12</v>
      </c>
      <c r="D77">
        <v>89.6</v>
      </c>
      <c r="E77">
        <v>0.42</v>
      </c>
      <c r="F77" t="s">
        <v>60</v>
      </c>
    </row>
    <row r="78" spans="1:6" x14ac:dyDescent="0.3">
      <c r="A78" t="s">
        <v>52</v>
      </c>
      <c r="B78" t="s">
        <v>53</v>
      </c>
      <c r="C78" t="s">
        <v>41</v>
      </c>
      <c r="D78">
        <v>88.88</v>
      </c>
      <c r="E78">
        <v>0.42</v>
      </c>
      <c r="F78" t="s">
        <v>60</v>
      </c>
    </row>
    <row r="79" spans="1:6" x14ac:dyDescent="0.3">
      <c r="A79" t="s">
        <v>61</v>
      </c>
      <c r="B79" t="s">
        <v>62</v>
      </c>
      <c r="C79" t="s">
        <v>8</v>
      </c>
      <c r="D79">
        <v>84.9</v>
      </c>
      <c r="E79">
        <v>0.4</v>
      </c>
      <c r="F79" t="s">
        <v>60</v>
      </c>
    </row>
    <row r="80" spans="1:6" x14ac:dyDescent="0.3">
      <c r="A80" t="s">
        <v>58</v>
      </c>
      <c r="B80" t="s">
        <v>59</v>
      </c>
      <c r="C80" t="s">
        <v>15</v>
      </c>
      <c r="D80">
        <v>84</v>
      </c>
      <c r="E80">
        <v>0.4</v>
      </c>
      <c r="F80" t="s">
        <v>60</v>
      </c>
    </row>
    <row r="81" spans="1:6" x14ac:dyDescent="0.3">
      <c r="A81" t="s">
        <v>58</v>
      </c>
      <c r="B81" t="s">
        <v>59</v>
      </c>
      <c r="C81" t="s">
        <v>18</v>
      </c>
      <c r="D81">
        <v>83.72</v>
      </c>
      <c r="E81">
        <v>0.4</v>
      </c>
      <c r="F81" t="s">
        <v>60</v>
      </c>
    </row>
    <row r="82" spans="1:6" x14ac:dyDescent="0.3">
      <c r="A82" t="s">
        <v>42</v>
      </c>
      <c r="B82" t="s">
        <v>43</v>
      </c>
      <c r="C82" t="s">
        <v>18</v>
      </c>
      <c r="D82">
        <v>81.92</v>
      </c>
      <c r="E82">
        <v>0.39</v>
      </c>
      <c r="F82" t="s">
        <v>60</v>
      </c>
    </row>
    <row r="83" spans="1:6" x14ac:dyDescent="0.3">
      <c r="A83" t="s">
        <v>19</v>
      </c>
      <c r="B83" t="s">
        <v>20</v>
      </c>
      <c r="C83" t="s">
        <v>8</v>
      </c>
      <c r="D83">
        <v>80.959999999999994</v>
      </c>
      <c r="E83">
        <v>0.38</v>
      </c>
      <c r="F83" t="s">
        <v>60</v>
      </c>
    </row>
    <row r="84" spans="1:6" x14ac:dyDescent="0.3">
      <c r="A84" t="s">
        <v>44</v>
      </c>
      <c r="B84" t="s">
        <v>45</v>
      </c>
      <c r="C84" t="s">
        <v>18</v>
      </c>
      <c r="D84">
        <v>79.09</v>
      </c>
      <c r="E84">
        <v>0.37</v>
      </c>
      <c r="F84" t="s">
        <v>60</v>
      </c>
    </row>
    <row r="85" spans="1:6" x14ac:dyDescent="0.3">
      <c r="A85" t="s">
        <v>25</v>
      </c>
      <c r="B85" t="s">
        <v>26</v>
      </c>
      <c r="C85" t="s">
        <v>15</v>
      </c>
      <c r="D85">
        <v>75.900000000000006</v>
      </c>
      <c r="E85">
        <v>0.36</v>
      </c>
      <c r="F85" t="s">
        <v>60</v>
      </c>
    </row>
    <row r="86" spans="1:6" x14ac:dyDescent="0.3">
      <c r="A86" t="s">
        <v>61</v>
      </c>
      <c r="B86" t="s">
        <v>62</v>
      </c>
      <c r="C86" t="s">
        <v>12</v>
      </c>
      <c r="D86">
        <v>76.38</v>
      </c>
      <c r="E86">
        <v>0.36</v>
      </c>
      <c r="F86" t="s">
        <v>60</v>
      </c>
    </row>
    <row r="87" spans="1:6" x14ac:dyDescent="0.3">
      <c r="A87" t="s">
        <v>10</v>
      </c>
      <c r="B87" t="s">
        <v>11</v>
      </c>
      <c r="C87" t="s">
        <v>41</v>
      </c>
      <c r="D87">
        <v>75.08</v>
      </c>
      <c r="E87">
        <v>0.35</v>
      </c>
      <c r="F87" t="s">
        <v>60</v>
      </c>
    </row>
    <row r="88" spans="1:6" x14ac:dyDescent="0.3">
      <c r="A88" t="s">
        <v>52</v>
      </c>
      <c r="B88" t="s">
        <v>53</v>
      </c>
      <c r="C88" t="s">
        <v>8</v>
      </c>
      <c r="D88">
        <v>74.14</v>
      </c>
      <c r="E88">
        <v>0.35</v>
      </c>
      <c r="F88" t="s">
        <v>60</v>
      </c>
    </row>
    <row r="89" spans="1:6" x14ac:dyDescent="0.3">
      <c r="A89" t="s">
        <v>61</v>
      </c>
      <c r="B89" t="s">
        <v>62</v>
      </c>
      <c r="C89" t="s">
        <v>24</v>
      </c>
      <c r="D89">
        <v>69.7</v>
      </c>
      <c r="E89">
        <v>0.33</v>
      </c>
      <c r="F89" t="s">
        <v>60</v>
      </c>
    </row>
    <row r="90" spans="1:6" x14ac:dyDescent="0.3">
      <c r="A90" t="s">
        <v>58</v>
      </c>
      <c r="B90" t="s">
        <v>59</v>
      </c>
      <c r="C90" t="s">
        <v>41</v>
      </c>
      <c r="D90">
        <v>60.63</v>
      </c>
      <c r="E90">
        <v>0.28999999999999998</v>
      </c>
      <c r="F90" t="s">
        <v>60</v>
      </c>
    </row>
    <row r="91" spans="1:6" x14ac:dyDescent="0.3">
      <c r="A91" t="s">
        <v>6</v>
      </c>
      <c r="B91" t="s">
        <v>7</v>
      </c>
      <c r="C91" t="s">
        <v>15</v>
      </c>
      <c r="D91">
        <v>58.37</v>
      </c>
      <c r="E91">
        <v>0.28000000000000003</v>
      </c>
      <c r="F91" t="s">
        <v>60</v>
      </c>
    </row>
    <row r="92" spans="1:6" x14ac:dyDescent="0.3">
      <c r="A92" t="s">
        <v>6</v>
      </c>
      <c r="B92" t="s">
        <v>7</v>
      </c>
      <c r="C92" t="s">
        <v>41</v>
      </c>
      <c r="D92">
        <v>58.92</v>
      </c>
      <c r="E92">
        <v>0.28000000000000003</v>
      </c>
      <c r="F92" t="s">
        <v>60</v>
      </c>
    </row>
    <row r="93" spans="1:6" x14ac:dyDescent="0.3">
      <c r="A93" t="s">
        <v>63</v>
      </c>
      <c r="B93" t="s">
        <v>64</v>
      </c>
      <c r="C93" t="s">
        <v>8</v>
      </c>
      <c r="D93">
        <v>56.65</v>
      </c>
      <c r="E93">
        <v>0.27</v>
      </c>
      <c r="F93" t="s">
        <v>60</v>
      </c>
    </row>
    <row r="94" spans="1:6" x14ac:dyDescent="0.3">
      <c r="A94" t="s">
        <v>35</v>
      </c>
      <c r="B94" t="s">
        <v>36</v>
      </c>
      <c r="C94" t="s">
        <v>41</v>
      </c>
      <c r="D94">
        <v>56.64</v>
      </c>
      <c r="E94">
        <v>0.27</v>
      </c>
      <c r="F94" t="s">
        <v>60</v>
      </c>
    </row>
    <row r="95" spans="1:6" x14ac:dyDescent="0.3">
      <c r="A95" t="s">
        <v>35</v>
      </c>
      <c r="B95" t="s">
        <v>36</v>
      </c>
      <c r="C95" t="s">
        <v>18</v>
      </c>
      <c r="D95">
        <v>54.08</v>
      </c>
      <c r="E95">
        <v>0.26</v>
      </c>
      <c r="F95" t="s">
        <v>60</v>
      </c>
    </row>
    <row r="96" spans="1:6" x14ac:dyDescent="0.3">
      <c r="A96" t="s">
        <v>39</v>
      </c>
      <c r="B96" t="s">
        <v>40</v>
      </c>
      <c r="C96" t="s">
        <v>41</v>
      </c>
      <c r="D96">
        <v>52.48</v>
      </c>
      <c r="E96">
        <v>0.25</v>
      </c>
      <c r="F96" t="s">
        <v>60</v>
      </c>
    </row>
    <row r="97" spans="1:6" x14ac:dyDescent="0.3">
      <c r="A97" t="s">
        <v>39</v>
      </c>
      <c r="B97" t="s">
        <v>40</v>
      </c>
      <c r="C97" t="s">
        <v>18</v>
      </c>
      <c r="D97">
        <v>51.49</v>
      </c>
      <c r="E97">
        <v>0.24</v>
      </c>
      <c r="F97" t="s">
        <v>60</v>
      </c>
    </row>
    <row r="98" spans="1:6" x14ac:dyDescent="0.3">
      <c r="A98" t="s">
        <v>19</v>
      </c>
      <c r="B98" t="s">
        <v>20</v>
      </c>
      <c r="C98" t="s">
        <v>15</v>
      </c>
      <c r="D98">
        <v>49.56</v>
      </c>
      <c r="E98">
        <v>0.23</v>
      </c>
      <c r="F98" t="s">
        <v>60</v>
      </c>
    </row>
    <row r="99" spans="1:6" x14ac:dyDescent="0.3">
      <c r="A99" t="s">
        <v>29</v>
      </c>
      <c r="B99" t="s">
        <v>30</v>
      </c>
      <c r="C99" t="s">
        <v>15</v>
      </c>
      <c r="D99">
        <v>46.11</v>
      </c>
      <c r="E99">
        <v>0.22</v>
      </c>
      <c r="F99" t="s">
        <v>60</v>
      </c>
    </row>
    <row r="100" spans="1:6" x14ac:dyDescent="0.3">
      <c r="A100" t="s">
        <v>31</v>
      </c>
      <c r="B100" t="s">
        <v>32</v>
      </c>
      <c r="C100" t="s">
        <v>41</v>
      </c>
      <c r="D100">
        <v>40.9</v>
      </c>
      <c r="E100">
        <v>0.19</v>
      </c>
      <c r="F100" t="s">
        <v>60</v>
      </c>
    </row>
    <row r="101" spans="1:6" x14ac:dyDescent="0.3">
      <c r="A101" t="s">
        <v>31</v>
      </c>
      <c r="B101" t="s">
        <v>32</v>
      </c>
      <c r="C101" t="s">
        <v>15</v>
      </c>
      <c r="D101">
        <v>35.64</v>
      </c>
      <c r="E101">
        <v>0.17</v>
      </c>
      <c r="F101" t="s">
        <v>60</v>
      </c>
    </row>
    <row r="102" spans="1:6" x14ac:dyDescent="0.3">
      <c r="A102" t="s">
        <v>27</v>
      </c>
      <c r="B102" t="s">
        <v>28</v>
      </c>
      <c r="C102" t="s">
        <v>41</v>
      </c>
      <c r="D102">
        <v>36.090000000000003</v>
      </c>
      <c r="E102">
        <v>0.17</v>
      </c>
      <c r="F102" t="s">
        <v>60</v>
      </c>
    </row>
    <row r="103" spans="1:6" x14ac:dyDescent="0.3">
      <c r="A103" t="s">
        <v>19</v>
      </c>
      <c r="B103" t="s">
        <v>20</v>
      </c>
      <c r="C103" t="s">
        <v>41</v>
      </c>
      <c r="D103">
        <v>33.97</v>
      </c>
      <c r="E103">
        <v>0.16</v>
      </c>
      <c r="F103" t="s">
        <v>60</v>
      </c>
    </row>
    <row r="104" spans="1:6" x14ac:dyDescent="0.3">
      <c r="A104" t="s">
        <v>33</v>
      </c>
      <c r="B104" t="s">
        <v>34</v>
      </c>
      <c r="C104" t="s">
        <v>15</v>
      </c>
      <c r="D104">
        <v>33.39</v>
      </c>
      <c r="E104">
        <v>0.16</v>
      </c>
      <c r="F104" t="s">
        <v>60</v>
      </c>
    </row>
    <row r="105" spans="1:6" x14ac:dyDescent="0.3">
      <c r="A105" t="s">
        <v>16</v>
      </c>
      <c r="B105" t="s">
        <v>17</v>
      </c>
      <c r="C105" t="s">
        <v>15</v>
      </c>
      <c r="D105">
        <v>31.05</v>
      </c>
      <c r="E105">
        <v>0.15</v>
      </c>
      <c r="F105" t="s">
        <v>60</v>
      </c>
    </row>
    <row r="106" spans="1:6" x14ac:dyDescent="0.3">
      <c r="A106" t="s">
        <v>48</v>
      </c>
      <c r="B106" t="s">
        <v>49</v>
      </c>
      <c r="C106" t="s">
        <v>18</v>
      </c>
      <c r="D106">
        <v>29.04</v>
      </c>
      <c r="E106">
        <v>0.14000000000000001</v>
      </c>
      <c r="F106" t="s">
        <v>60</v>
      </c>
    </row>
    <row r="107" spans="1:6" x14ac:dyDescent="0.3">
      <c r="A107" t="s">
        <v>54</v>
      </c>
      <c r="B107" t="s">
        <v>55</v>
      </c>
      <c r="C107" t="s">
        <v>15</v>
      </c>
      <c r="D107">
        <v>26.64</v>
      </c>
      <c r="E107">
        <v>0.13</v>
      </c>
      <c r="F107" t="s">
        <v>60</v>
      </c>
    </row>
    <row r="108" spans="1:6" x14ac:dyDescent="0.3">
      <c r="A108" t="s">
        <v>56</v>
      </c>
      <c r="B108" t="s">
        <v>57</v>
      </c>
      <c r="C108" t="s">
        <v>41</v>
      </c>
      <c r="D108">
        <v>28.11</v>
      </c>
      <c r="E108">
        <v>0.13</v>
      </c>
      <c r="F108" t="s">
        <v>60</v>
      </c>
    </row>
    <row r="109" spans="1:6" x14ac:dyDescent="0.3">
      <c r="A109" t="s">
        <v>48</v>
      </c>
      <c r="B109" t="s">
        <v>49</v>
      </c>
      <c r="C109" t="s">
        <v>41</v>
      </c>
      <c r="D109">
        <v>25.9</v>
      </c>
      <c r="E109">
        <v>0.12</v>
      </c>
      <c r="F109" t="s">
        <v>60</v>
      </c>
    </row>
    <row r="110" spans="1:6" x14ac:dyDescent="0.3">
      <c r="A110" t="s">
        <v>27</v>
      </c>
      <c r="B110" t="s">
        <v>28</v>
      </c>
      <c r="C110" t="s">
        <v>12</v>
      </c>
      <c r="D110">
        <v>23.26</v>
      </c>
      <c r="E110">
        <v>0.11</v>
      </c>
      <c r="F110" t="s">
        <v>60</v>
      </c>
    </row>
    <row r="111" spans="1:6" x14ac:dyDescent="0.3">
      <c r="A111" t="s">
        <v>10</v>
      </c>
      <c r="B111" t="s">
        <v>11</v>
      </c>
      <c r="C111" t="s">
        <v>8</v>
      </c>
      <c r="D111">
        <v>22.96</v>
      </c>
      <c r="E111">
        <v>0.11</v>
      </c>
      <c r="F111" t="s">
        <v>60</v>
      </c>
    </row>
    <row r="112" spans="1:6" x14ac:dyDescent="0.3">
      <c r="A112" t="s">
        <v>48</v>
      </c>
      <c r="B112" t="s">
        <v>49</v>
      </c>
      <c r="C112" t="s">
        <v>8</v>
      </c>
      <c r="D112">
        <v>23.07</v>
      </c>
      <c r="E112">
        <v>0.11</v>
      </c>
      <c r="F112" t="s">
        <v>60</v>
      </c>
    </row>
    <row r="113" spans="1:6" x14ac:dyDescent="0.3">
      <c r="A113" t="s">
        <v>61</v>
      </c>
      <c r="B113" t="s">
        <v>62</v>
      </c>
      <c r="C113" t="s">
        <v>18</v>
      </c>
      <c r="D113">
        <v>20.76</v>
      </c>
      <c r="E113">
        <v>0.1</v>
      </c>
      <c r="F113" t="s">
        <v>60</v>
      </c>
    </row>
    <row r="114" spans="1:6" x14ac:dyDescent="0.3">
      <c r="A114" t="s">
        <v>27</v>
      </c>
      <c r="B114" t="s">
        <v>28</v>
      </c>
      <c r="C114" t="s">
        <v>15</v>
      </c>
      <c r="D114">
        <v>19.079999999999998</v>
      </c>
      <c r="E114">
        <v>0.09</v>
      </c>
      <c r="F114" t="s">
        <v>60</v>
      </c>
    </row>
    <row r="115" spans="1:6" x14ac:dyDescent="0.3">
      <c r="A115" t="s">
        <v>25</v>
      </c>
      <c r="B115" t="s">
        <v>26</v>
      </c>
      <c r="C115" t="s">
        <v>65</v>
      </c>
      <c r="D115">
        <v>17.46</v>
      </c>
      <c r="E115">
        <v>0.08</v>
      </c>
      <c r="F115" t="s">
        <v>60</v>
      </c>
    </row>
    <row r="116" spans="1:6" x14ac:dyDescent="0.3">
      <c r="A116" t="s">
        <v>37</v>
      </c>
      <c r="B116" t="s">
        <v>38</v>
      </c>
      <c r="C116" t="s">
        <v>12</v>
      </c>
      <c r="D116">
        <v>13.8</v>
      </c>
      <c r="E116">
        <v>7.0000000000000007E-2</v>
      </c>
      <c r="F116" t="s">
        <v>60</v>
      </c>
    </row>
    <row r="117" spans="1:6" x14ac:dyDescent="0.3">
      <c r="A117" t="s">
        <v>54</v>
      </c>
      <c r="B117" t="s">
        <v>55</v>
      </c>
      <c r="C117" t="s">
        <v>41</v>
      </c>
      <c r="D117">
        <v>13.54</v>
      </c>
      <c r="E117">
        <v>0.06</v>
      </c>
      <c r="F117" t="s">
        <v>60</v>
      </c>
    </row>
    <row r="118" spans="1:6" x14ac:dyDescent="0.3">
      <c r="A118" t="s">
        <v>27</v>
      </c>
      <c r="B118" t="s">
        <v>28</v>
      </c>
      <c r="C118" t="s">
        <v>8</v>
      </c>
      <c r="D118">
        <v>13.26</v>
      </c>
      <c r="E118">
        <v>0.06</v>
      </c>
      <c r="F118" t="s">
        <v>60</v>
      </c>
    </row>
    <row r="119" spans="1:6" x14ac:dyDescent="0.3">
      <c r="A119" t="s">
        <v>54</v>
      </c>
      <c r="B119" t="s">
        <v>55</v>
      </c>
      <c r="C119" t="s">
        <v>24</v>
      </c>
      <c r="D119">
        <v>9.59</v>
      </c>
      <c r="E119">
        <v>0.05</v>
      </c>
      <c r="F119" t="s">
        <v>60</v>
      </c>
    </row>
    <row r="120" spans="1:6" x14ac:dyDescent="0.3">
      <c r="A120" t="s">
        <v>33</v>
      </c>
      <c r="B120" t="s">
        <v>34</v>
      </c>
      <c r="C120" t="s">
        <v>8</v>
      </c>
      <c r="D120">
        <v>6.6</v>
      </c>
      <c r="E120">
        <v>0.03</v>
      </c>
      <c r="F120" t="s">
        <v>60</v>
      </c>
    </row>
    <row r="121" spans="1:6" x14ac:dyDescent="0.3">
      <c r="A121" t="s">
        <v>42</v>
      </c>
      <c r="B121" t="s">
        <v>43</v>
      </c>
      <c r="C121" t="s">
        <v>24</v>
      </c>
      <c r="D121">
        <v>3.28</v>
      </c>
      <c r="E121">
        <v>0.02</v>
      </c>
      <c r="F121" t="s">
        <v>60</v>
      </c>
    </row>
    <row r="122" spans="1:6" x14ac:dyDescent="0.3">
      <c r="A122" t="s">
        <v>56</v>
      </c>
      <c r="B122" t="s">
        <v>57</v>
      </c>
      <c r="C122" t="s">
        <v>8</v>
      </c>
      <c r="D122">
        <v>4.5599999999999996</v>
      </c>
      <c r="E122">
        <v>0.02</v>
      </c>
      <c r="F122" t="s">
        <v>60</v>
      </c>
    </row>
    <row r="123" spans="1:6" x14ac:dyDescent="0.3">
      <c r="A123" t="s">
        <v>29</v>
      </c>
      <c r="B123" t="s">
        <v>30</v>
      </c>
      <c r="C123" t="s">
        <v>18</v>
      </c>
      <c r="D123">
        <v>2.4500000000000002</v>
      </c>
      <c r="E123">
        <v>0.01</v>
      </c>
      <c r="F123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28C2AC-1253-487F-987C-961C43C9F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customer_segments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 Hovhannisyan</dc:creator>
  <cp:lastModifiedBy>Grigor Hovhannisyan</cp:lastModifiedBy>
  <dcterms:created xsi:type="dcterms:W3CDTF">2026-05-02T19:40:20Z</dcterms:created>
  <dcterms:modified xsi:type="dcterms:W3CDTF">2026-05-03T13:24:47Z</dcterms:modified>
</cp:coreProperties>
</file>